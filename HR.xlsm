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Anonoymous\Desktop\Docs\Others\HR\"/>
    </mc:Choice>
  </mc:AlternateContent>
  <xr:revisionPtr revIDLastSave="0" documentId="13_ncr:1_{DE515013-D793-44F6-8504-6A0B3BD4B829}" xr6:coauthVersionLast="33" xr6:coauthVersionMax="33" xr10:uidLastSave="{00000000-0000-0000-0000-000000000000}"/>
  <bookViews>
    <workbookView xWindow="0" yWindow="0" windowWidth="19200" windowHeight="6940" activeTab="3" xr2:uid="{7C908ED4-8575-4F2C-A2EC-0EC281BAF670}"/>
  </bookViews>
  <sheets>
    <sheet name="Menu" sheetId="3" r:id="rId1"/>
    <sheet name="Attendance" sheetId="2" r:id="rId2"/>
    <sheet name="Timetable" sheetId="1" r:id="rId3"/>
    <sheet name="StaffData" sheetId="4" r:id="rId4"/>
    <sheet name="CPF" sheetId="8" r:id="rId5"/>
    <sheet name="PaymentData" sheetId="5" r:id="rId6"/>
    <sheet name="Cat1" sheetId="11" r:id="rId7"/>
    <sheet name="Cat2" sheetId="10" r:id="rId8"/>
    <sheet name="Cat3" sheetId="14" r:id="rId9"/>
    <sheet name="Cat4" sheetId="13" r:id="rId10"/>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60" i="4" l="1"/>
  <c r="O59" i="4"/>
  <c r="O61" i="4"/>
  <c r="O62" i="4"/>
  <c r="O63" i="4"/>
  <c r="O64" i="4"/>
  <c r="O65" i="4"/>
  <c r="O66" i="4"/>
  <c r="O67" i="4"/>
  <c r="O68" i="4"/>
  <c r="O69"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I36" i="1"/>
  <c r="J36" i="1"/>
  <c r="K36" i="1"/>
  <c r="L36" i="1"/>
  <c r="H36" i="1"/>
  <c r="Q9" i="5" l="1"/>
  <c r="Q6" i="4"/>
  <c r="Q7" i="4"/>
  <c r="Q8" i="4"/>
  <c r="Q10" i="4"/>
  <c r="Q11" i="4"/>
  <c r="Q12" i="4"/>
  <c r="Q14" i="4"/>
  <c r="Q15" i="4"/>
  <c r="Q16" i="4"/>
  <c r="Q18" i="4"/>
  <c r="Q19" i="4"/>
  <c r="Q20" i="4"/>
  <c r="Q22" i="4"/>
  <c r="Q23" i="4"/>
  <c r="Q24" i="4"/>
  <c r="Q26" i="4"/>
  <c r="Q27" i="4"/>
  <c r="Q28" i="4"/>
  <c r="Q30" i="4"/>
  <c r="Q31" i="4"/>
  <c r="Q32" i="4"/>
  <c r="Q34" i="4"/>
  <c r="Q35" i="4"/>
  <c r="Q36" i="4"/>
  <c r="Q38" i="4"/>
  <c r="Q39" i="4"/>
  <c r="Q40" i="4"/>
  <c r="Q42" i="4"/>
  <c r="Q43" i="4"/>
  <c r="Q44" i="4"/>
  <c r="Q46" i="4"/>
  <c r="Q47" i="4"/>
  <c r="Q48" i="4"/>
  <c r="Q50" i="4"/>
  <c r="Q51" i="4"/>
  <c r="Q52" i="4"/>
  <c r="Q54" i="4"/>
  <c r="Q55" i="4"/>
  <c r="Q56" i="4"/>
  <c r="Q58" i="4"/>
  <c r="Q59" i="4"/>
  <c r="Q60" i="4"/>
  <c r="Q62" i="4"/>
  <c r="Q63" i="4"/>
  <c r="Q64" i="4"/>
  <c r="Q66" i="4"/>
  <c r="Q67" i="4"/>
  <c r="Q68" i="4"/>
  <c r="Q8" i="5"/>
  <c r="Q7" i="5"/>
  <c r="G41" i="14"/>
  <c r="L35" i="14"/>
  <c r="K35" i="14"/>
  <c r="J35" i="14"/>
  <c r="I35" i="14"/>
  <c r="M35" i="14" s="1"/>
  <c r="H35" i="14"/>
  <c r="G37" i="14" s="1"/>
  <c r="M34" i="14"/>
  <c r="G34" i="14"/>
  <c r="M33" i="14"/>
  <c r="G33" i="14"/>
  <c r="M32" i="14"/>
  <c r="G32" i="14"/>
  <c r="M31" i="14"/>
  <c r="G31" i="14"/>
  <c r="M30" i="14"/>
  <c r="G30" i="14"/>
  <c r="M29" i="14"/>
  <c r="G29" i="14"/>
  <c r="M28" i="14"/>
  <c r="G28" i="14"/>
  <c r="M27" i="14"/>
  <c r="G27" i="14"/>
  <c r="M26" i="14"/>
  <c r="G26" i="14"/>
  <c r="M25" i="14"/>
  <c r="G25" i="14"/>
  <c r="M24" i="14"/>
  <c r="G24" i="14"/>
  <c r="M23" i="14"/>
  <c r="G23" i="14"/>
  <c r="M22" i="14"/>
  <c r="G22" i="14"/>
  <c r="M21" i="14"/>
  <c r="G21" i="14"/>
  <c r="M20" i="14"/>
  <c r="G20" i="14"/>
  <c r="M19" i="14"/>
  <c r="G19" i="14"/>
  <c r="M18" i="14"/>
  <c r="G18" i="14"/>
  <c r="M17" i="14"/>
  <c r="G17" i="14"/>
  <c r="M16" i="14"/>
  <c r="G16" i="14"/>
  <c r="M15" i="14"/>
  <c r="G15" i="14"/>
  <c r="M14" i="14"/>
  <c r="G14" i="14"/>
  <c r="M13" i="14"/>
  <c r="G13" i="14"/>
  <c r="M12" i="14"/>
  <c r="G12" i="14"/>
  <c r="M11" i="14"/>
  <c r="G11" i="14"/>
  <c r="M10" i="14"/>
  <c r="G10" i="14"/>
  <c r="M9" i="14"/>
  <c r="G9" i="14"/>
  <c r="M8" i="14"/>
  <c r="G8" i="14"/>
  <c r="M7" i="14"/>
  <c r="G7" i="14"/>
  <c r="M6" i="14"/>
  <c r="G6" i="14"/>
  <c r="M5" i="14"/>
  <c r="G5" i="14"/>
  <c r="M4" i="14"/>
  <c r="G4" i="14"/>
  <c r="G35" i="14" s="1"/>
  <c r="G36" i="14" s="1"/>
  <c r="G41" i="13"/>
  <c r="L35" i="13"/>
  <c r="K35" i="13"/>
  <c r="J35" i="13"/>
  <c r="I35" i="13"/>
  <c r="M35" i="13" s="1"/>
  <c r="H35" i="13"/>
  <c r="G37" i="13" s="1"/>
  <c r="M34" i="13"/>
  <c r="G34" i="13"/>
  <c r="M33" i="13"/>
  <c r="G33" i="13"/>
  <c r="M32" i="13"/>
  <c r="G32" i="13"/>
  <c r="M31" i="13"/>
  <c r="G31" i="13"/>
  <c r="M30" i="13"/>
  <c r="G30" i="13"/>
  <c r="M29" i="13"/>
  <c r="G29" i="13"/>
  <c r="M28" i="13"/>
  <c r="G28" i="13"/>
  <c r="M27" i="13"/>
  <c r="G27" i="13"/>
  <c r="M26" i="13"/>
  <c r="G26" i="13"/>
  <c r="M25" i="13"/>
  <c r="G25" i="13"/>
  <c r="M24" i="13"/>
  <c r="G24" i="13"/>
  <c r="M23" i="13"/>
  <c r="G23" i="13"/>
  <c r="M22" i="13"/>
  <c r="G22" i="13"/>
  <c r="M21" i="13"/>
  <c r="G21" i="13"/>
  <c r="M20" i="13"/>
  <c r="G20" i="13"/>
  <c r="M19" i="13"/>
  <c r="G19" i="13"/>
  <c r="M18" i="13"/>
  <c r="G18" i="13"/>
  <c r="M17" i="13"/>
  <c r="G17" i="13"/>
  <c r="M16" i="13"/>
  <c r="G16" i="13"/>
  <c r="M15" i="13"/>
  <c r="G15" i="13"/>
  <c r="M14" i="13"/>
  <c r="G14" i="13"/>
  <c r="M13" i="13"/>
  <c r="G13" i="13"/>
  <c r="M12" i="13"/>
  <c r="G12" i="13"/>
  <c r="M11" i="13"/>
  <c r="G11" i="13"/>
  <c r="M10" i="13"/>
  <c r="G10" i="13"/>
  <c r="M9" i="13"/>
  <c r="G9" i="13"/>
  <c r="M8" i="13"/>
  <c r="G8" i="13"/>
  <c r="M7" i="13"/>
  <c r="G7" i="13"/>
  <c r="M6" i="13"/>
  <c r="G6" i="13"/>
  <c r="M5" i="13"/>
  <c r="G5" i="13"/>
  <c r="M4" i="13"/>
  <c r="G4" i="13"/>
  <c r="G35" i="13" s="1"/>
  <c r="G36" i="13" s="1"/>
  <c r="P69" i="4"/>
  <c r="Q69" i="4" s="1"/>
  <c r="N69" i="4"/>
  <c r="M69" i="4"/>
  <c r="P68" i="4"/>
  <c r="N68" i="4"/>
  <c r="M68" i="4"/>
  <c r="P67" i="4"/>
  <c r="N67" i="4"/>
  <c r="M67" i="4"/>
  <c r="P66" i="4"/>
  <c r="N66" i="4"/>
  <c r="M66" i="4"/>
  <c r="P65" i="4"/>
  <c r="Q65" i="4" s="1"/>
  <c r="N65" i="4"/>
  <c r="M65" i="4"/>
  <c r="P64" i="4"/>
  <c r="N64" i="4"/>
  <c r="M64" i="4"/>
  <c r="P63" i="4"/>
  <c r="N63" i="4"/>
  <c r="M63" i="4"/>
  <c r="P62" i="4"/>
  <c r="N62" i="4"/>
  <c r="M62" i="4"/>
  <c r="P61" i="4"/>
  <c r="Q61" i="4" s="1"/>
  <c r="N61" i="4"/>
  <c r="M61" i="4"/>
  <c r="P60" i="4"/>
  <c r="N60" i="4"/>
  <c r="M60" i="4"/>
  <c r="P59" i="4"/>
  <c r="N59" i="4"/>
  <c r="M59" i="4"/>
  <c r="P58" i="4"/>
  <c r="N58" i="4"/>
  <c r="M58" i="4"/>
  <c r="P57" i="4"/>
  <c r="Q57" i="4" s="1"/>
  <c r="N57" i="4"/>
  <c r="M57" i="4"/>
  <c r="P56" i="4"/>
  <c r="N56" i="4"/>
  <c r="M56" i="4"/>
  <c r="P55" i="4"/>
  <c r="N55" i="4"/>
  <c r="M55" i="4"/>
  <c r="P54" i="4"/>
  <c r="N54" i="4"/>
  <c r="M54" i="4"/>
  <c r="P53" i="4"/>
  <c r="Q53" i="4" s="1"/>
  <c r="N53" i="4"/>
  <c r="M53" i="4"/>
  <c r="P52" i="4"/>
  <c r="N52" i="4"/>
  <c r="M52" i="4"/>
  <c r="P51" i="4"/>
  <c r="N51" i="4"/>
  <c r="M51" i="4"/>
  <c r="P50" i="4"/>
  <c r="N50" i="4"/>
  <c r="M50" i="4"/>
  <c r="P49" i="4"/>
  <c r="Q49" i="4" s="1"/>
  <c r="N49" i="4"/>
  <c r="M49" i="4"/>
  <c r="P48" i="4"/>
  <c r="N48" i="4"/>
  <c r="M48" i="4"/>
  <c r="P47" i="4"/>
  <c r="N47" i="4"/>
  <c r="M47" i="4"/>
  <c r="P46" i="4"/>
  <c r="N46" i="4"/>
  <c r="M46" i="4"/>
  <c r="P45" i="4"/>
  <c r="Q45" i="4" s="1"/>
  <c r="N45" i="4"/>
  <c r="M45" i="4"/>
  <c r="P44" i="4"/>
  <c r="N44" i="4"/>
  <c r="M44" i="4"/>
  <c r="P43" i="4"/>
  <c r="N43" i="4"/>
  <c r="M43" i="4"/>
  <c r="P42" i="4"/>
  <c r="N42" i="4"/>
  <c r="M42" i="4"/>
  <c r="P41" i="4"/>
  <c r="Q41" i="4" s="1"/>
  <c r="N41" i="4"/>
  <c r="M41" i="4"/>
  <c r="P40" i="4"/>
  <c r="N40" i="4"/>
  <c r="M40" i="4"/>
  <c r="P39" i="4"/>
  <c r="N39" i="4"/>
  <c r="M39" i="4"/>
  <c r="P38" i="4"/>
  <c r="N38" i="4"/>
  <c r="M38" i="4"/>
  <c r="P37" i="4"/>
  <c r="Q37" i="4" s="1"/>
  <c r="N37" i="4"/>
  <c r="M37" i="4"/>
  <c r="P36" i="4"/>
  <c r="N36" i="4"/>
  <c r="M36" i="4"/>
  <c r="P35" i="4"/>
  <c r="N35" i="4"/>
  <c r="M35" i="4"/>
  <c r="P34" i="4"/>
  <c r="N34" i="4"/>
  <c r="M34" i="4"/>
  <c r="P33" i="4"/>
  <c r="Q33" i="4" s="1"/>
  <c r="N33" i="4"/>
  <c r="M33" i="4"/>
  <c r="P32" i="4"/>
  <c r="N32" i="4"/>
  <c r="M32" i="4"/>
  <c r="P31" i="4"/>
  <c r="N31" i="4"/>
  <c r="M31" i="4"/>
  <c r="P30" i="4"/>
  <c r="N30" i="4"/>
  <c r="M30" i="4"/>
  <c r="P29" i="4"/>
  <c r="Q29" i="4" s="1"/>
  <c r="N29" i="4"/>
  <c r="M29" i="4"/>
  <c r="P28" i="4"/>
  <c r="N28" i="4"/>
  <c r="M28" i="4"/>
  <c r="P27" i="4"/>
  <c r="N27" i="4"/>
  <c r="M27" i="4"/>
  <c r="P26" i="4"/>
  <c r="N26" i="4"/>
  <c r="M26" i="4"/>
  <c r="P25" i="4"/>
  <c r="Q25" i="4" s="1"/>
  <c r="N25" i="4"/>
  <c r="M25" i="4"/>
  <c r="P24" i="4"/>
  <c r="N24" i="4"/>
  <c r="M24" i="4"/>
  <c r="P23" i="4"/>
  <c r="N23" i="4"/>
  <c r="M23" i="4"/>
  <c r="P22" i="4"/>
  <c r="N22" i="4"/>
  <c r="M22" i="4"/>
  <c r="G41" i="11"/>
  <c r="L35" i="11"/>
  <c r="K35" i="11"/>
  <c r="J35" i="11"/>
  <c r="I35" i="11"/>
  <c r="H35" i="11"/>
  <c r="M34" i="11"/>
  <c r="G34" i="11"/>
  <c r="M33" i="11"/>
  <c r="G33" i="11"/>
  <c r="M32" i="11"/>
  <c r="G32" i="11"/>
  <c r="M31" i="11"/>
  <c r="G31" i="11"/>
  <c r="M30" i="11"/>
  <c r="G30" i="11"/>
  <c r="M29" i="11"/>
  <c r="G29" i="11"/>
  <c r="M28" i="11"/>
  <c r="G28" i="11"/>
  <c r="M27" i="11"/>
  <c r="G27" i="11"/>
  <c r="M26" i="11"/>
  <c r="G26" i="11"/>
  <c r="M25" i="11"/>
  <c r="G25" i="11"/>
  <c r="M24" i="11"/>
  <c r="G24" i="11"/>
  <c r="M23" i="11"/>
  <c r="G23" i="11"/>
  <c r="M22" i="11"/>
  <c r="G22" i="11"/>
  <c r="M21" i="11"/>
  <c r="G21" i="11"/>
  <c r="M20" i="11"/>
  <c r="G20" i="11"/>
  <c r="M19" i="11"/>
  <c r="G19" i="11"/>
  <c r="M18" i="11"/>
  <c r="G18" i="11"/>
  <c r="M17" i="11"/>
  <c r="G17" i="11"/>
  <c r="M16" i="11"/>
  <c r="G16" i="11"/>
  <c r="M15" i="11"/>
  <c r="G15" i="11"/>
  <c r="M14" i="11"/>
  <c r="G14" i="11"/>
  <c r="M13" i="11"/>
  <c r="G13" i="11"/>
  <c r="M12" i="11"/>
  <c r="G12" i="11"/>
  <c r="M11" i="11"/>
  <c r="G11" i="11"/>
  <c r="M10" i="11"/>
  <c r="G10" i="11"/>
  <c r="M9" i="11"/>
  <c r="G9" i="11"/>
  <c r="M8" i="11"/>
  <c r="G8" i="11"/>
  <c r="M7" i="11"/>
  <c r="G7" i="11"/>
  <c r="M6" i="11"/>
  <c r="G6" i="11"/>
  <c r="M5" i="11"/>
  <c r="G5" i="11"/>
  <c r="M4" i="11"/>
  <c r="G4" i="11"/>
  <c r="G41" i="10"/>
  <c r="L35" i="10"/>
  <c r="K35" i="10"/>
  <c r="J35" i="10"/>
  <c r="I35" i="10"/>
  <c r="H35" i="10"/>
  <c r="M34" i="10"/>
  <c r="G34" i="10"/>
  <c r="M33" i="10"/>
  <c r="G33" i="10"/>
  <c r="M32" i="10"/>
  <c r="G32" i="10"/>
  <c r="M31" i="10"/>
  <c r="G31" i="10"/>
  <c r="M30" i="10"/>
  <c r="G30" i="10"/>
  <c r="M29" i="10"/>
  <c r="G29" i="10"/>
  <c r="M28" i="10"/>
  <c r="G28" i="10"/>
  <c r="M27" i="10"/>
  <c r="G27" i="10"/>
  <c r="M26" i="10"/>
  <c r="G26" i="10"/>
  <c r="M25" i="10"/>
  <c r="G25" i="10"/>
  <c r="M24" i="10"/>
  <c r="G24" i="10"/>
  <c r="M23" i="10"/>
  <c r="G23" i="10"/>
  <c r="M22" i="10"/>
  <c r="G22" i="10"/>
  <c r="M21" i="10"/>
  <c r="G21" i="10"/>
  <c r="M20" i="10"/>
  <c r="G20" i="10"/>
  <c r="M19" i="10"/>
  <c r="G19" i="10"/>
  <c r="M18" i="10"/>
  <c r="G18" i="10"/>
  <c r="M17" i="10"/>
  <c r="G17" i="10"/>
  <c r="M16" i="10"/>
  <c r="G16" i="10"/>
  <c r="M15" i="10"/>
  <c r="G15" i="10"/>
  <c r="M14" i="10"/>
  <c r="G14" i="10"/>
  <c r="M13" i="10"/>
  <c r="G13" i="10"/>
  <c r="M12" i="10"/>
  <c r="G12" i="10"/>
  <c r="M11" i="10"/>
  <c r="G11" i="10"/>
  <c r="M10" i="10"/>
  <c r="G10" i="10"/>
  <c r="M9" i="10"/>
  <c r="G9" i="10"/>
  <c r="M8" i="10"/>
  <c r="G8" i="10"/>
  <c r="M7" i="10"/>
  <c r="G7" i="10"/>
  <c r="M6" i="10"/>
  <c r="G6" i="10"/>
  <c r="M5" i="10"/>
  <c r="G5" i="10"/>
  <c r="M4" i="10"/>
  <c r="G4" i="10"/>
  <c r="G35" i="11" l="1"/>
  <c r="G36" i="11" s="1"/>
  <c r="G37" i="11"/>
  <c r="M35" i="11"/>
  <c r="G37" i="10"/>
  <c r="M35" i="10"/>
  <c r="G35" i="10"/>
  <c r="G36" i="10" s="1"/>
  <c r="H12" i="8"/>
  <c r="Q6" i="5"/>
  <c r="Q5" i="5"/>
  <c r="Q4" i="5"/>
  <c r="Q3" i="5" l="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5" i="1"/>
  <c r="G6" i="1"/>
  <c r="G36" i="1" l="1"/>
  <c r="C37" i="8"/>
  <c r="E49" i="8" s="1"/>
  <c r="G50" i="8" s="1"/>
  <c r="C21" i="8"/>
  <c r="E33" i="8" s="1"/>
  <c r="G34" i="8" s="1"/>
  <c r="C5" i="8"/>
  <c r="E9" i="8" s="1"/>
  <c r="G11" i="8" l="1"/>
  <c r="G9" i="8"/>
  <c r="G36" i="8"/>
  <c r="G35" i="8"/>
  <c r="H35" i="8" s="1"/>
  <c r="G33" i="8"/>
  <c r="I33" i="8" s="1"/>
  <c r="G52" i="8"/>
  <c r="G51" i="8"/>
  <c r="H51" i="8" s="1"/>
  <c r="G49" i="8"/>
  <c r="I49" i="8" s="1"/>
  <c r="E37" i="8"/>
  <c r="G37" i="8" s="1"/>
  <c r="H37" i="8" s="1"/>
  <c r="E41" i="8"/>
  <c r="E21" i="8"/>
  <c r="G24" i="8" s="1"/>
  <c r="I34" i="8"/>
  <c r="I50" i="8"/>
  <c r="E29" i="8"/>
  <c r="G32" i="8" s="1"/>
  <c r="I32" i="8" s="1"/>
  <c r="E45" i="8"/>
  <c r="G48" i="8" s="1"/>
  <c r="G10" i="8"/>
  <c r="G12" i="8"/>
  <c r="E25" i="8"/>
  <c r="G25" i="8" s="1"/>
  <c r="E13" i="8"/>
  <c r="E17" i="8"/>
  <c r="G18" i="8" s="1"/>
  <c r="E5" i="8"/>
  <c r="G6" i="8" s="1"/>
  <c r="I6" i="8" s="1"/>
  <c r="G20" i="8" l="1"/>
  <c r="G17" i="8"/>
  <c r="G19" i="8"/>
  <c r="G41" i="8"/>
  <c r="H41" i="8" s="1"/>
  <c r="G15" i="8"/>
  <c r="I15" i="8" s="1"/>
  <c r="G16" i="8"/>
  <c r="I52" i="8"/>
  <c r="H52" i="8"/>
  <c r="I12" i="8"/>
  <c r="I24" i="8"/>
  <c r="H24" i="8"/>
  <c r="I36" i="8"/>
  <c r="H36" i="8"/>
  <c r="G21" i="8"/>
  <c r="I21" i="8" s="1"/>
  <c r="G22" i="8"/>
  <c r="I22" i="8" s="1"/>
  <c r="G23" i="8"/>
  <c r="I23" i="8" s="1"/>
  <c r="H33" i="8"/>
  <c r="G40" i="8"/>
  <c r="H49" i="8"/>
  <c r="G38" i="8"/>
  <c r="I38" i="8" s="1"/>
  <c r="G39" i="8"/>
  <c r="I37" i="8"/>
  <c r="G43" i="8"/>
  <c r="I43" i="8" s="1"/>
  <c r="G42" i="8"/>
  <c r="I42" i="8" s="1"/>
  <c r="G44" i="8"/>
  <c r="H50" i="8"/>
  <c r="I51" i="8"/>
  <c r="I35" i="8"/>
  <c r="G45" i="8"/>
  <c r="G46" i="8"/>
  <c r="G47" i="8"/>
  <c r="H47" i="8" s="1"/>
  <c r="H34" i="8"/>
  <c r="G29" i="8"/>
  <c r="G30" i="8"/>
  <c r="G31" i="8"/>
  <c r="G28" i="8"/>
  <c r="G27" i="8"/>
  <c r="G26" i="8"/>
  <c r="H6" i="8"/>
  <c r="G13" i="8"/>
  <c r="G7" i="8"/>
  <c r="G8" i="8"/>
  <c r="G14" i="8"/>
  <c r="G5" i="8"/>
  <c r="I41" i="8" l="1"/>
  <c r="H15" i="8"/>
  <c r="H21" i="8"/>
  <c r="I28" i="8"/>
  <c r="H28" i="8"/>
  <c r="H32" i="8"/>
  <c r="I40" i="8"/>
  <c r="H40" i="8"/>
  <c r="I20" i="8"/>
  <c r="H20" i="8"/>
  <c r="I44" i="8"/>
  <c r="H44" i="8"/>
  <c r="I16" i="8"/>
  <c r="H16" i="8"/>
  <c r="I8" i="8"/>
  <c r="H8" i="8"/>
  <c r="I48" i="8"/>
  <c r="H48" i="8"/>
  <c r="H23" i="8"/>
  <c r="H22" i="8"/>
  <c r="H42" i="8"/>
  <c r="H38" i="8"/>
  <c r="H43" i="8"/>
  <c r="H39" i="8"/>
  <c r="I39" i="8"/>
  <c r="I27" i="8"/>
  <c r="H27" i="8"/>
  <c r="I30" i="8"/>
  <c r="H30" i="8"/>
  <c r="I47" i="8"/>
  <c r="I25" i="8"/>
  <c r="H25" i="8"/>
  <c r="H31" i="8"/>
  <c r="I31" i="8"/>
  <c r="I46" i="8"/>
  <c r="H46" i="8"/>
  <c r="I29" i="8"/>
  <c r="H29" i="8"/>
  <c r="H26" i="8"/>
  <c r="I26" i="8"/>
  <c r="H45" i="8"/>
  <c r="I45" i="8"/>
  <c r="H18" i="8"/>
  <c r="I18" i="8"/>
  <c r="H17" i="8"/>
  <c r="I17" i="8"/>
  <c r="I19" i="8"/>
  <c r="H19" i="8"/>
  <c r="H9" i="8"/>
  <c r="I9" i="8"/>
  <c r="H7" i="8"/>
  <c r="I7" i="8"/>
  <c r="H5" i="8"/>
  <c r="I5" i="8"/>
  <c r="H13" i="8"/>
  <c r="I13" i="8"/>
  <c r="H14" i="8"/>
  <c r="I14" i="8"/>
  <c r="H10" i="8"/>
  <c r="I10" i="8"/>
  <c r="H11" i="8"/>
  <c r="I11" i="8"/>
  <c r="M4" i="4"/>
  <c r="I53" i="8" l="1"/>
  <c r="H53" i="8"/>
  <c r="N21" i="4" l="1"/>
  <c r="M21" i="4"/>
  <c r="P21" i="4"/>
  <c r="Q21" i="4" s="1"/>
  <c r="N20" i="4"/>
  <c r="M20" i="4"/>
  <c r="P20" i="4"/>
  <c r="M5" i="4"/>
  <c r="M6" i="4"/>
  <c r="M7" i="4"/>
  <c r="M8" i="4"/>
  <c r="M9" i="4"/>
  <c r="M10" i="4"/>
  <c r="M11" i="4"/>
  <c r="M12" i="4"/>
  <c r="M13" i="4"/>
  <c r="M14" i="4"/>
  <c r="M15" i="4"/>
  <c r="M16" i="4"/>
  <c r="M17" i="4"/>
  <c r="M18" i="4"/>
  <c r="M19" i="4"/>
  <c r="G42" i="1"/>
  <c r="P4" i="4"/>
  <c r="Q4" i="4" s="1"/>
  <c r="P5" i="4"/>
  <c r="Q5" i="4" s="1"/>
  <c r="P6" i="4"/>
  <c r="P7" i="4"/>
  <c r="P8" i="4"/>
  <c r="P9" i="4"/>
  <c r="Q9" i="4" s="1"/>
  <c r="P10" i="4"/>
  <c r="P11" i="4"/>
  <c r="P12" i="4"/>
  <c r="P13" i="4"/>
  <c r="Q13" i="4" s="1"/>
  <c r="P14" i="4"/>
  <c r="P15" i="4"/>
  <c r="P16" i="4"/>
  <c r="P17" i="4"/>
  <c r="Q17" i="4" s="1"/>
  <c r="P18" i="4"/>
  <c r="P19" i="4"/>
  <c r="N4" i="4"/>
  <c r="N5" i="4"/>
  <c r="N6" i="4"/>
  <c r="N7" i="4"/>
  <c r="N8" i="4"/>
  <c r="N9" i="4"/>
  <c r="N10" i="4"/>
  <c r="N11" i="4"/>
  <c r="N12" i="4"/>
  <c r="N13" i="4"/>
  <c r="N14" i="4"/>
  <c r="N15" i="4"/>
  <c r="N16" i="4"/>
  <c r="N17" i="4"/>
  <c r="N18" i="4"/>
  <c r="N19" i="4"/>
  <c r="G37" i="1" l="1"/>
  <c r="M36" i="1" l="1"/>
  <c r="G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3" authorId="0" shapeId="0" xr:uid="{BDA4B2C3-B41B-4B1C-91F6-23DB0BF63C00}">
      <text>
        <r>
          <rPr>
            <sz val="9"/>
            <color indexed="81"/>
            <rFont val="Tahoma"/>
            <family val="2"/>
          </rPr>
          <t>Type in the correct month
January: Jan
February: Feb
March: March
April: April
May: May
June: June
July: July
August: Aug
September: Sep
October: Oct
November: Nov
December: Dec</t>
        </r>
      </text>
    </comment>
    <comment ref="E3" authorId="0" shapeId="0" xr:uid="{098C8DCC-EBE6-4683-916D-335198B43D66}">
      <text>
        <r>
          <rPr>
            <sz val="9"/>
            <color indexed="81"/>
            <rFont val="Tahoma"/>
            <family val="2"/>
          </rPr>
          <t xml:space="preserve">Fill this cell since it is pink, in minutes
</t>
        </r>
      </text>
    </comment>
    <comment ref="G3" authorId="0" shapeId="0" xr:uid="{076D55A1-65BD-404F-94CF-113B553ECEBF}">
      <text>
        <r>
          <rPr>
            <sz val="9"/>
            <color indexed="81"/>
            <rFont val="Tahoma"/>
            <family val="2"/>
          </rPr>
          <t>Fill this cell since it is pink</t>
        </r>
      </text>
    </comment>
    <comment ref="H3" authorId="0" shapeId="0" xr:uid="{1674FCCC-722A-4563-A36E-4735585783D8}">
      <text>
        <r>
          <rPr>
            <b/>
            <sz val="9"/>
            <color indexed="81"/>
            <rFont val="Tahoma"/>
            <family val="2"/>
          </rPr>
          <t xml:space="preserve">YD:
</t>
        </r>
        <r>
          <rPr>
            <sz val="9"/>
            <color indexed="81"/>
            <rFont val="Tahoma"/>
            <family val="2"/>
          </rPr>
          <t xml:space="preserve">Click here to import day and calculate OT Hours
</t>
        </r>
      </text>
    </comment>
    <comment ref="M3" authorId="0" shapeId="0" xr:uid="{A8FE8DEE-C45B-48B4-9E91-E8FAF758EA4F}">
      <text>
        <r>
          <rPr>
            <sz val="9"/>
            <color indexed="81"/>
            <rFont val="Tahoma"/>
            <family val="2"/>
          </rPr>
          <t xml:space="preserve">NIL if there is nothing, otherwise type in details but will need to key in another row for data recording at PaymentData and also add in 2 lines of code.
</t>
        </r>
      </text>
    </comment>
    <comment ref="C4" authorId="0" shapeId="0" xr:uid="{C92CB43A-55B2-4BFC-96F4-2865585E2BCC}">
      <text>
        <r>
          <rPr>
            <sz val="9"/>
            <color indexed="81"/>
            <rFont val="Tahoma"/>
            <family val="2"/>
          </rPr>
          <t>Click this button to erase start time data
Fill this row (since it is in pink) with data. 
1) No work, leave it blank
2) On course = CSE
3) Overseas Leave = OL
4) Local Leave = LL
5) Medical Leave/Hopsitalisation = MC
If that month has no 31st, leave it blank
Type in HH:MM:SS AM/PM format</t>
        </r>
      </text>
    </comment>
    <comment ref="D4" authorId="0" shapeId="0" xr:uid="{9D74B448-4A3A-4890-9862-900762CED9D3}">
      <text>
        <r>
          <rPr>
            <sz val="9"/>
            <color indexed="81"/>
            <rFont val="Tahoma"/>
            <family val="2"/>
          </rPr>
          <t xml:space="preserve">Click this button to erase end time data
Fill this row (since it is in pink) with data. 
1) No work, leave it blank
2) On course = CSE
3) Overseas Leave = OL
4) Local Leave = LL
5) Medical Leave/Hopsitalisation = MC
If that month has no 31st, leave it blank
Type in HH:MM:SS AM/PM format
</t>
        </r>
      </text>
    </comment>
    <comment ref="E4" authorId="0" shapeId="0" xr:uid="{E0587B04-DE25-4E17-91B8-5ED51045A7F4}">
      <text>
        <r>
          <rPr>
            <sz val="9"/>
            <color indexed="81"/>
            <rFont val="Tahoma"/>
            <family val="2"/>
          </rPr>
          <t xml:space="preserve">Data to be imported from Attendance sheet, which is to be done by the end of the month before payroll is done.
</t>
        </r>
      </text>
    </comment>
    <comment ref="F4" authorId="0" shapeId="0" xr:uid="{AED9C3E0-FD56-419A-B622-2AEAEEA60A85}">
      <text>
        <r>
          <rPr>
            <sz val="9"/>
            <color indexed="81"/>
            <rFont val="Tahoma"/>
            <family val="2"/>
          </rPr>
          <t xml:space="preserve">- Type in Y if the day is a public holiday, 
- Type in HD if the day is a Half Day working day
- Otherwise leave cell blank
</t>
        </r>
      </text>
    </comment>
    <comment ref="G36" authorId="0" shapeId="0" xr:uid="{FB711A9E-B23F-4872-91EB-C3732F91585E}">
      <text>
        <r>
          <rPr>
            <b/>
            <sz val="9"/>
            <color indexed="81"/>
            <rFont val="Tahoma"/>
            <family val="2"/>
          </rPr>
          <t xml:space="preserve">YD:
</t>
        </r>
        <r>
          <rPr>
            <sz val="9"/>
            <color indexed="81"/>
            <rFont val="Tahoma"/>
            <family val="2"/>
          </rPr>
          <t xml:space="preserve">Total number of hours worked (OT + Non-OT)
</t>
        </r>
      </text>
    </comment>
    <comment ref="M36" authorId="0" shapeId="0" xr:uid="{4B26C123-7CF8-40B5-87FC-923BA27F750E}">
      <text>
        <r>
          <rPr>
            <b/>
            <sz val="9"/>
            <color indexed="81"/>
            <rFont val="Tahoma"/>
            <family val="2"/>
          </rPr>
          <t xml:space="preserve">YD:
</t>
        </r>
        <r>
          <rPr>
            <sz val="9"/>
            <color indexed="81"/>
            <rFont val="Tahoma"/>
            <family val="2"/>
          </rPr>
          <t xml:space="preserve">Total number of OT Hours
</t>
        </r>
      </text>
    </comment>
    <comment ref="G39" authorId="0" shapeId="0" xr:uid="{35BA47DB-F26A-4BC5-82A9-97CF6559F77C}">
      <text>
        <r>
          <rPr>
            <sz val="9"/>
            <color indexed="81"/>
            <rFont val="Tahoma"/>
            <family val="2"/>
          </rPr>
          <t>+ve if additional payment from company, -ve if deduction from company</t>
        </r>
      </text>
    </comment>
    <comment ref="G40" authorId="0" shapeId="0" xr:uid="{7834CF4E-61E2-4D4B-8A66-1428C24AD9F0}">
      <text>
        <r>
          <rPr>
            <sz val="9"/>
            <color indexed="81"/>
            <rFont val="Tahoma"/>
            <family val="2"/>
          </rPr>
          <t xml:space="preserve">To ensure accurancy leave data
</t>
        </r>
      </text>
    </comment>
    <comment ref="G41" authorId="0" shapeId="0" xr:uid="{B6D30F4C-A17C-4380-AA52-86D08BF89636}">
      <text>
        <r>
          <rPr>
            <sz val="9"/>
            <color indexed="81"/>
            <rFont val="Tahoma"/>
            <family val="2"/>
          </rPr>
          <t xml:space="preserve">If training hours were to be in the same list, it would mean that someone may not be able to work and have training before or after that on the same day, which does not make sense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1" authorId="0" shapeId="0" xr:uid="{75565852-C1A9-4D53-8FE9-9CD1D3609F8E}">
      <text>
        <r>
          <rPr>
            <sz val="9"/>
            <color indexed="81"/>
            <rFont val="Tahoma"/>
            <family val="2"/>
          </rPr>
          <t xml:space="preserve">Kindly edit every month before proceeding
</t>
        </r>
      </text>
    </comment>
    <comment ref="H1" authorId="0" shapeId="0" xr:uid="{A2981FE4-8ADB-45A2-B842-EA41C952BF47}">
      <text>
        <r>
          <rPr>
            <b/>
            <sz val="9"/>
            <color indexed="81"/>
            <rFont val="Tahoma"/>
            <family val="2"/>
          </rPr>
          <t>YD:</t>
        </r>
        <r>
          <rPr>
            <sz val="9"/>
            <color indexed="81"/>
            <rFont val="Tahoma"/>
            <family val="2"/>
          </rPr>
          <t xml:space="preserve">
Kindly edit every month before proceeding</t>
        </r>
      </text>
    </comment>
    <comment ref="B3" authorId="0" shapeId="0" xr:uid="{4F0D203D-A0AA-488C-BAB4-D5094F2AB181}">
      <text>
        <r>
          <rPr>
            <sz val="9"/>
            <color indexed="81"/>
            <rFont val="Tahoma"/>
            <family val="2"/>
          </rPr>
          <t xml:space="preserve">Full name of employee
</t>
        </r>
      </text>
    </comment>
    <comment ref="C3" authorId="0" shapeId="0" xr:uid="{6C02F1E8-B488-4CB2-A7F3-1C4DF9B1CD7F}">
      <text>
        <r>
          <rPr>
            <sz val="9"/>
            <color indexed="81"/>
            <rFont val="Tahoma"/>
            <family val="2"/>
          </rPr>
          <t xml:space="preserve">Staff code of employee, will be used to reference employee. Each staff has a unique code to be used for easy identification
</t>
        </r>
      </text>
    </comment>
    <comment ref="D3" authorId="0" shapeId="0" xr:uid="{D4084AB3-62C6-4874-B6D9-1BEF5D561C42}">
      <text>
        <r>
          <rPr>
            <sz val="9"/>
            <color indexed="81"/>
            <rFont val="Tahoma"/>
            <family val="2"/>
          </rPr>
          <t xml:space="preserve">Rank in Security
</t>
        </r>
      </text>
    </comment>
    <comment ref="E3" authorId="0" shapeId="0" xr:uid="{8F629D56-2BE2-4F2D-8CFB-B27A51AE221C}">
      <text>
        <r>
          <rPr>
            <sz val="9"/>
            <color indexed="81"/>
            <rFont val="Tahoma"/>
            <family val="2"/>
          </rPr>
          <t xml:space="preserve">- Key S for Singaporean,
- Key PR for PR
- Key N for </t>
        </r>
        <r>
          <rPr>
            <b/>
            <sz val="9"/>
            <color indexed="81"/>
            <rFont val="Tahoma"/>
            <family val="2"/>
          </rPr>
          <t>neither Singaporean, PR 
- For all interns, key in N</t>
        </r>
        <r>
          <rPr>
            <sz val="9"/>
            <color indexed="81"/>
            <rFont val="Tahoma"/>
            <family val="2"/>
          </rPr>
          <t xml:space="preserve">
</t>
        </r>
      </text>
    </comment>
    <comment ref="F3" authorId="0" shapeId="0" xr:uid="{1BF630F3-8CAE-40AC-818C-2ADB6260FC59}">
      <text>
        <r>
          <rPr>
            <sz val="9"/>
            <color indexed="81"/>
            <rFont val="Tahoma"/>
            <family val="2"/>
          </rPr>
          <t>If personnel is PR, key this in</t>
        </r>
      </text>
    </comment>
    <comment ref="G3" authorId="0" shapeId="0" xr:uid="{9465FF93-22E3-4B4C-9BDD-FA65844E251D}">
      <text>
        <r>
          <rPr>
            <sz val="9"/>
            <color indexed="81"/>
            <rFont val="Tahoma"/>
            <family val="2"/>
          </rPr>
          <t xml:space="preserve">To know the age of employee for CPF contribution purposes
</t>
        </r>
      </text>
    </comment>
    <comment ref="H3" authorId="0" shapeId="0" xr:uid="{9214D644-1398-4D22-AF17-7E7A6CDC9999}">
      <text>
        <r>
          <rPr>
            <sz val="9"/>
            <color indexed="81"/>
            <rFont val="Tahoma"/>
            <family val="2"/>
          </rPr>
          <t xml:space="preserve">When the employee was first employed
</t>
        </r>
      </text>
    </comment>
    <comment ref="J3" authorId="0" shapeId="0" xr:uid="{C5B93283-2BE6-49A9-928F-3185D60149BF}">
      <text>
        <r>
          <rPr>
            <sz val="9"/>
            <color indexed="81"/>
            <rFont val="Tahoma"/>
            <family val="2"/>
          </rPr>
          <t xml:space="preserve">If full-timer, key in F. Part-timer, key in P.
</t>
        </r>
      </text>
    </comment>
    <comment ref="K3" authorId="0" shapeId="0" xr:uid="{9A0124DA-F7BF-40C2-80EA-FBCBED3C662D}">
      <text>
        <r>
          <rPr>
            <sz val="9"/>
            <color indexed="81"/>
            <rFont val="Tahoma"/>
            <family val="2"/>
          </rPr>
          <t xml:space="preserve">Applicable for full-timer
</t>
        </r>
      </text>
    </comment>
    <comment ref="L3" authorId="0" shapeId="0" xr:uid="{A6F671C4-C236-45AE-95F4-06055114EB8E}">
      <text>
        <r>
          <rPr>
            <sz val="9"/>
            <color indexed="81"/>
            <rFont val="Tahoma"/>
            <family val="2"/>
          </rPr>
          <t xml:space="preserve">Applicable for part-timers
</t>
        </r>
      </text>
    </comment>
    <comment ref="M3" authorId="0" shapeId="0" xr:uid="{BED3A7C2-FF0E-4FF0-910A-FCB4EFB0DD89}">
      <text>
        <r>
          <rPr>
            <sz val="9"/>
            <color indexed="81"/>
            <rFont val="Tahoma"/>
            <family val="2"/>
          </rPr>
          <t xml:space="preserve">Details on how to calculate hourly rate
</t>
        </r>
      </text>
    </comment>
    <comment ref="N3" authorId="0" shapeId="0" xr:uid="{11668DA0-FB9C-47B4-980D-31D2EF7108C2}">
      <text>
        <r>
          <rPr>
            <sz val="9"/>
            <color indexed="81"/>
            <rFont val="Tahoma"/>
            <family val="2"/>
          </rPr>
          <t xml:space="preserve">Age of person as of today, SG time. Data is dynamic and will automatically be updated
</t>
        </r>
      </text>
    </comment>
    <comment ref="O3" authorId="0" shapeId="0" xr:uid="{B977FCBA-26F5-480F-868B-5B1D59654741}">
      <text>
        <r>
          <rPr>
            <sz val="9"/>
            <color indexed="81"/>
            <rFont val="Tahoma"/>
            <family val="2"/>
          </rPr>
          <t xml:space="preserve">To know how many years has personnel been a PR for CPF contribution purposes
</t>
        </r>
      </text>
    </comment>
    <comment ref="P3" authorId="0" shapeId="0" xr:uid="{EF91FCF9-246D-4BEF-ABE5-C283C07460CC}">
      <text>
        <r>
          <rPr>
            <sz val="9"/>
            <color indexed="81"/>
            <rFont val="Tahoma"/>
            <family val="2"/>
          </rPr>
          <t xml:space="preserve">To know how many days of leave is personnel entitled to
</t>
        </r>
      </text>
    </comment>
    <comment ref="Q3" authorId="0" shapeId="0" xr:uid="{7F436EBA-1078-4CA7-B7CF-1B5F4AECCCCD}">
      <text>
        <r>
          <rPr>
            <sz val="9"/>
            <color indexed="81"/>
            <rFont val="Tahoma"/>
            <family val="2"/>
          </rPr>
          <t>Leave Entitled rules:
- 18 days: &gt; 10 years in co
- 17 days: 7-10 years in co
- 16 days: 5-7 years in co
-15 days: 3-5 years in co
- 14 days: 0-3 years in 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L1" authorId="0" shapeId="0" xr:uid="{BA97AE91-25E4-459D-B665-201347E2A757}">
      <text>
        <r>
          <rPr>
            <sz val="9"/>
            <color indexed="81"/>
            <rFont val="Tahoma"/>
            <family val="2"/>
          </rPr>
          <t xml:space="preserve">Key in since it is in pink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J2" authorId="0" shapeId="0" xr:uid="{A96431E6-A18F-40A7-8D12-D80F7E451208}">
      <text>
        <r>
          <rPr>
            <sz val="9"/>
            <color indexed="81"/>
            <rFont val="Tahoma"/>
            <family val="2"/>
          </rPr>
          <t>Days on leave on that month</t>
        </r>
      </text>
    </comment>
    <comment ref="K2" authorId="0" shapeId="0" xr:uid="{1F08002F-1DC3-45CE-B570-A6D3D6CB7C16}">
      <text>
        <r>
          <rPr>
            <sz val="9"/>
            <color indexed="81"/>
            <rFont val="Tahoma"/>
            <family val="2"/>
          </rPr>
          <t xml:space="preserve">Days on MC in that month
</t>
        </r>
      </text>
    </comment>
    <comment ref="L2" authorId="0" shapeId="0" xr:uid="{8BB38862-9980-4607-AD8F-83973D2FC035}">
      <text>
        <r>
          <rPr>
            <sz val="9"/>
            <color indexed="81"/>
            <rFont val="Tahoma"/>
            <family val="2"/>
          </rPr>
          <t xml:space="preserve">No. of training hours in that month
</t>
        </r>
      </text>
    </comment>
    <comment ref="M2" authorId="0" shapeId="0" xr:uid="{EC8D7BD5-3186-469B-9566-A679D145CCD2}">
      <text>
        <r>
          <rPr>
            <sz val="9"/>
            <color indexed="81"/>
            <rFont val="Tahoma"/>
            <family val="2"/>
          </rPr>
          <t xml:space="preserve">No. of days leave left (optional to have, just need to do adjustment to code)
</t>
        </r>
      </text>
    </comment>
    <comment ref="N2" authorId="0" shapeId="0" xr:uid="{9AB7B926-B0E7-4D08-9BD9-92FB5FB7A76D}">
      <text>
        <r>
          <rPr>
            <sz val="9"/>
            <color indexed="81"/>
            <rFont val="Tahoma"/>
            <family val="2"/>
          </rPr>
          <t xml:space="preserve">Total no. of days of MC
</t>
        </r>
      </text>
    </comment>
    <comment ref="P2" authorId="0" shapeId="0" xr:uid="{4C82FFC0-7727-42EA-9724-DDE3A7FBC4EA}">
      <text>
        <r>
          <rPr>
            <sz val="9"/>
            <color indexed="81"/>
            <rFont val="Tahoma"/>
            <family val="2"/>
          </rPr>
          <t xml:space="preserve">HR Personnel that keyed in data at Template and Attendance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2" authorId="0" shapeId="0" xr:uid="{A7DC086A-071C-4B43-A486-C42F489A0E10}">
      <text>
        <r>
          <rPr>
            <sz val="9"/>
            <color indexed="81"/>
            <rFont val="Tahoma"/>
            <family val="2"/>
          </rPr>
          <t>Type in the correct month
January: Jan
February: Feb
March: March
April: April
May: May
June: June
July: July
August: Aug
September: Sep
October: Oct
November: Nov
December: Dec</t>
        </r>
      </text>
    </comment>
    <comment ref="E2" authorId="0" shapeId="0" xr:uid="{2083EE1A-3894-4CBC-B9DD-2CC7E22E0103}">
      <text>
        <r>
          <rPr>
            <sz val="9"/>
            <color indexed="81"/>
            <rFont val="Tahoma"/>
            <family val="2"/>
          </rPr>
          <t>Fill this cell since it is pink</t>
        </r>
      </text>
    </comment>
    <comment ref="G2" authorId="0" shapeId="0" xr:uid="{170CAD3C-8A55-4CE9-BA3F-E884D36D6603}">
      <text>
        <r>
          <rPr>
            <sz val="9"/>
            <color indexed="81"/>
            <rFont val="Tahoma"/>
            <family val="2"/>
          </rPr>
          <t>Fill this cell since it is pink</t>
        </r>
      </text>
    </comment>
    <comment ref="H2" authorId="0" shapeId="0" xr:uid="{1CC4C171-2626-4302-B48E-83B9ACD915CC}">
      <text>
        <r>
          <rPr>
            <b/>
            <sz val="9"/>
            <color indexed="81"/>
            <rFont val="Tahoma"/>
            <family val="2"/>
          </rPr>
          <t xml:space="preserve">YD:
</t>
        </r>
        <r>
          <rPr>
            <sz val="9"/>
            <color indexed="81"/>
            <rFont val="Tahoma"/>
            <family val="2"/>
          </rPr>
          <t xml:space="preserve">Click here to import day and calculate OT Hours
</t>
        </r>
      </text>
    </comment>
    <comment ref="C3" authorId="0" shapeId="0" xr:uid="{943F9BC5-7233-43A9-9D8A-4487947F9F56}">
      <text>
        <r>
          <rPr>
            <sz val="9"/>
            <color indexed="81"/>
            <rFont val="Tahoma"/>
            <family val="2"/>
          </rPr>
          <t>Click this button to erase start time data
Fill this row (since it is in pink) with data. 
1) No work, leave it blank
2) On course = CSE
3) Overseas Leave = OL
4) Local Leave = LL
5) Medical Leave/Hopsitalisation = MC
If that month has no 31st, leave it blank
Type in HH:MM:SS AM/PM format</t>
        </r>
      </text>
    </comment>
    <comment ref="D3" authorId="0" shapeId="0" xr:uid="{89156265-F911-4040-BD20-8FF98A7DB079}">
      <text>
        <r>
          <rPr>
            <sz val="9"/>
            <color indexed="81"/>
            <rFont val="Tahoma"/>
            <family val="2"/>
          </rPr>
          <t xml:space="preserve">Click this button to erase end time data
Fill this row (since it is in pink) with data. 
1) No work, leave it blank
2) On course = CSE
3) Overseas Leave = OL
4) Local Leave = LL
5) Medical Leave/Hopsitalisation = MC
If that month has no 31st, leave it blank
Type in HH:MM:SS AM/PM format
</t>
        </r>
      </text>
    </comment>
    <comment ref="F3" authorId="0" shapeId="0" xr:uid="{B51DE15C-90E1-48B1-98E9-6E2646111BBF}">
      <text>
        <r>
          <rPr>
            <sz val="9"/>
            <color indexed="81"/>
            <rFont val="Tahoma"/>
            <family val="2"/>
          </rPr>
          <t xml:space="preserve">Type in Y if the day is a public holiday, otherwise leave cell blank
</t>
        </r>
      </text>
    </comment>
    <comment ref="G35" authorId="0" shapeId="0" xr:uid="{C43710D2-DD41-4168-AD8E-D91D4DB89F68}">
      <text>
        <r>
          <rPr>
            <b/>
            <sz val="9"/>
            <color indexed="81"/>
            <rFont val="Tahoma"/>
            <family val="2"/>
          </rPr>
          <t xml:space="preserve">YD:
</t>
        </r>
        <r>
          <rPr>
            <sz val="9"/>
            <color indexed="81"/>
            <rFont val="Tahoma"/>
            <family val="2"/>
          </rPr>
          <t xml:space="preserve">Total number of hours worked (OT + Non-OT)
</t>
        </r>
      </text>
    </comment>
    <comment ref="M35" authorId="0" shapeId="0" xr:uid="{2D60DFDD-0313-44E5-A170-20BFAEA5D12E}">
      <text>
        <r>
          <rPr>
            <b/>
            <sz val="9"/>
            <color indexed="81"/>
            <rFont val="Tahoma"/>
            <family val="2"/>
          </rPr>
          <t xml:space="preserve">YD:
</t>
        </r>
        <r>
          <rPr>
            <sz val="9"/>
            <color indexed="81"/>
            <rFont val="Tahoma"/>
            <family val="2"/>
          </rPr>
          <t xml:space="preserve">Total number of OT Hours
</t>
        </r>
      </text>
    </comment>
    <comment ref="G39" authorId="0" shapeId="0" xr:uid="{CC9C4C1B-EA0B-417C-8580-26FA60E4466A}">
      <text>
        <r>
          <rPr>
            <sz val="9"/>
            <color indexed="81"/>
            <rFont val="Tahoma"/>
            <family val="2"/>
          </rPr>
          <t xml:space="preserve">To ensure accurancy leave data
</t>
        </r>
      </text>
    </comment>
    <comment ref="G40" authorId="0" shapeId="0" xr:uid="{FE49E345-7A35-4F3F-AFED-4E2E834FBEFF}">
      <text>
        <r>
          <rPr>
            <sz val="9"/>
            <color indexed="81"/>
            <rFont val="Tahoma"/>
            <family val="2"/>
          </rPr>
          <t xml:space="preserve">If training hours were to be in the same list, it would mean that someone may not be able to work and have training before or after that on the same day, which does not make sense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2" authorId="0" shapeId="0" xr:uid="{7B7E0E5E-677E-4063-889B-5FC303E47A1F}">
      <text>
        <r>
          <rPr>
            <sz val="9"/>
            <color indexed="81"/>
            <rFont val="Tahoma"/>
            <family val="2"/>
          </rPr>
          <t>Type in the correct month
January: Jan
February: Feb
March: March
April: April
May: May
June: June
July: July
August: Aug
September: Sep
October: Oct
November: Nov
December: Dec</t>
        </r>
      </text>
    </comment>
    <comment ref="E2" authorId="0" shapeId="0" xr:uid="{511A43B3-C5C2-4395-89F5-DF67CED60663}">
      <text>
        <r>
          <rPr>
            <sz val="9"/>
            <color indexed="81"/>
            <rFont val="Tahoma"/>
            <family val="2"/>
          </rPr>
          <t>Fill this cell since it is pink</t>
        </r>
      </text>
    </comment>
    <comment ref="G2" authorId="0" shapeId="0" xr:uid="{8465E973-21A2-425B-A74A-5B058193ECC4}">
      <text>
        <r>
          <rPr>
            <sz val="9"/>
            <color indexed="81"/>
            <rFont val="Tahoma"/>
            <family val="2"/>
          </rPr>
          <t>Fill this cell since it is pink</t>
        </r>
      </text>
    </comment>
    <comment ref="H2" authorId="0" shapeId="0" xr:uid="{B480358A-78BD-424F-8D81-AFDDA266D5D6}">
      <text>
        <r>
          <rPr>
            <b/>
            <sz val="9"/>
            <color indexed="81"/>
            <rFont val="Tahoma"/>
            <family val="2"/>
          </rPr>
          <t xml:space="preserve">YD:
</t>
        </r>
        <r>
          <rPr>
            <sz val="9"/>
            <color indexed="81"/>
            <rFont val="Tahoma"/>
            <family val="2"/>
          </rPr>
          <t xml:space="preserve">Click here to import day and calculate OT Hours
</t>
        </r>
      </text>
    </comment>
    <comment ref="C3" authorId="0" shapeId="0" xr:uid="{9C401A1F-064C-4F9E-AA44-4E8EDA9D0425}">
      <text>
        <r>
          <rPr>
            <sz val="9"/>
            <color indexed="81"/>
            <rFont val="Tahoma"/>
            <family val="2"/>
          </rPr>
          <t>Click this button to erase start time data
Fill this row (since it is in pink) with data. 
1) No work, leave it blank
2) On course = CSE
3) Overseas Leave = OL
4) Local Leave = LL
5) Medical Leave/Hopsitalisation = MC
If that month has no 31st, leave it blank
Type in HH:MM:SS AM/PM format</t>
        </r>
      </text>
    </comment>
    <comment ref="D3" authorId="0" shapeId="0" xr:uid="{6E51CC80-E7DF-4947-8528-95AF51958DB5}">
      <text>
        <r>
          <rPr>
            <sz val="9"/>
            <color indexed="81"/>
            <rFont val="Tahoma"/>
            <family val="2"/>
          </rPr>
          <t xml:space="preserve">Click this button to erase end time data
Fill this row (since it is in pink) with data. 
1) No work, leave it blank
2) On course = CSE
3) Overseas Leave = OL
4) Local Leave = LL
5) Medical Leave/Hopsitalisation = MC
If that month has no 31st, leave it blank
Type in HH:MM:SS AM/PM format
</t>
        </r>
      </text>
    </comment>
    <comment ref="F3" authorId="0" shapeId="0" xr:uid="{2FB8EDCC-4ED3-40B9-85A6-77AB87AC088C}">
      <text>
        <r>
          <rPr>
            <sz val="9"/>
            <color indexed="81"/>
            <rFont val="Tahoma"/>
            <family val="2"/>
          </rPr>
          <t xml:space="preserve">Type in Y if the day is a public holiday, otherwise leave cell blank
</t>
        </r>
      </text>
    </comment>
    <comment ref="G35" authorId="0" shapeId="0" xr:uid="{823CD889-8608-48A0-AC9D-69B4CA607D05}">
      <text>
        <r>
          <rPr>
            <b/>
            <sz val="9"/>
            <color indexed="81"/>
            <rFont val="Tahoma"/>
            <family val="2"/>
          </rPr>
          <t xml:space="preserve">YD:
</t>
        </r>
        <r>
          <rPr>
            <sz val="9"/>
            <color indexed="81"/>
            <rFont val="Tahoma"/>
            <family val="2"/>
          </rPr>
          <t xml:space="preserve">Total number of hours worked (OT + Non-OT)
</t>
        </r>
      </text>
    </comment>
    <comment ref="M35" authorId="0" shapeId="0" xr:uid="{BF9463B6-A45E-4D50-B9C1-2F206CA16239}">
      <text>
        <r>
          <rPr>
            <b/>
            <sz val="9"/>
            <color indexed="81"/>
            <rFont val="Tahoma"/>
            <family val="2"/>
          </rPr>
          <t xml:space="preserve">YD:
</t>
        </r>
        <r>
          <rPr>
            <sz val="9"/>
            <color indexed="81"/>
            <rFont val="Tahoma"/>
            <family val="2"/>
          </rPr>
          <t xml:space="preserve">Total number of OT Hours
</t>
        </r>
      </text>
    </comment>
    <comment ref="G39" authorId="0" shapeId="0" xr:uid="{9559DD62-34F2-48EC-9459-3507749074D7}">
      <text>
        <r>
          <rPr>
            <sz val="9"/>
            <color indexed="81"/>
            <rFont val="Tahoma"/>
            <family val="2"/>
          </rPr>
          <t xml:space="preserve">To ensure accurancy leave data
</t>
        </r>
      </text>
    </comment>
    <comment ref="G40" authorId="0" shapeId="0" xr:uid="{EC55D205-D8F0-413A-9670-E37FE0450000}">
      <text>
        <r>
          <rPr>
            <sz val="9"/>
            <color indexed="81"/>
            <rFont val="Tahoma"/>
            <family val="2"/>
          </rPr>
          <t xml:space="preserve">If training hours were to be in the same list, it would mean that someone may not be able to work and have training before or after that on the same day, which does not make sense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2" authorId="0" shapeId="0" xr:uid="{7CDCBBF0-A863-4A72-ADA1-7701EE37FB83}">
      <text>
        <r>
          <rPr>
            <sz val="9"/>
            <color indexed="81"/>
            <rFont val="Tahoma"/>
            <family val="2"/>
          </rPr>
          <t>Type in the correct month
January: Jan
February: Feb
March: March
April: April
May: May
June: June
July: July
August: Aug
September: Sep
October: Oct
November: Nov
December: Dec</t>
        </r>
      </text>
    </comment>
    <comment ref="E2" authorId="0" shapeId="0" xr:uid="{12D1FBA3-3BBD-4253-A30B-E4EE04D012A9}">
      <text>
        <r>
          <rPr>
            <sz val="9"/>
            <color indexed="81"/>
            <rFont val="Tahoma"/>
            <family val="2"/>
          </rPr>
          <t>Fill this cell since it is pink</t>
        </r>
      </text>
    </comment>
    <comment ref="G2" authorId="0" shapeId="0" xr:uid="{999D7433-6767-479A-A4F2-24BB815F8CDC}">
      <text>
        <r>
          <rPr>
            <sz val="9"/>
            <color indexed="81"/>
            <rFont val="Tahoma"/>
            <family val="2"/>
          </rPr>
          <t>Fill this cell since it is pink</t>
        </r>
      </text>
    </comment>
    <comment ref="H2" authorId="0" shapeId="0" xr:uid="{99174483-8FDB-44A9-87DE-597D417A430C}">
      <text>
        <r>
          <rPr>
            <b/>
            <sz val="9"/>
            <color indexed="81"/>
            <rFont val="Tahoma"/>
            <family val="2"/>
          </rPr>
          <t xml:space="preserve">YD:
</t>
        </r>
        <r>
          <rPr>
            <sz val="9"/>
            <color indexed="81"/>
            <rFont val="Tahoma"/>
            <family val="2"/>
          </rPr>
          <t xml:space="preserve">Click here to import day and calculate OT Hours
</t>
        </r>
      </text>
    </comment>
    <comment ref="C3" authorId="0" shapeId="0" xr:uid="{8333D6F2-83BF-4F3F-8483-1F620022D7F5}">
      <text>
        <r>
          <rPr>
            <sz val="9"/>
            <color indexed="81"/>
            <rFont val="Tahoma"/>
            <family val="2"/>
          </rPr>
          <t>Click this button to erase start time data
Fill this row (since it is in pink) with data. 
1) No work, leave it blank
2) On course = CSE
3) Overseas Leave = OL
4) Local Leave = LL
5) Medical Leave/Hopsitalisation = MC
If that month has no 31st, leave it blank
Type in HH:MM:SS AM/PM format</t>
        </r>
      </text>
    </comment>
    <comment ref="D3" authorId="0" shapeId="0" xr:uid="{203EE63C-0000-42A6-B3A4-92C503024E15}">
      <text>
        <r>
          <rPr>
            <sz val="9"/>
            <color indexed="81"/>
            <rFont val="Tahoma"/>
            <family val="2"/>
          </rPr>
          <t xml:space="preserve">Click this button to erase end time data
Fill this row (since it is in pink) with data. 
1) No work, leave it blank
2) On course = CSE
3) Overseas Leave = OL
4) Local Leave = LL
5) Medical Leave/Hopsitalisation = MC
If that month has no 31st, leave it blank
Type in HH:MM:SS AM/PM format
</t>
        </r>
      </text>
    </comment>
    <comment ref="F3" authorId="0" shapeId="0" xr:uid="{45891AB2-F504-46E7-AF3B-A9DCC5618350}">
      <text>
        <r>
          <rPr>
            <sz val="9"/>
            <color indexed="81"/>
            <rFont val="Tahoma"/>
            <family val="2"/>
          </rPr>
          <t xml:space="preserve">Type in Y if the day is a public holiday, otherwise leave cell blank
</t>
        </r>
      </text>
    </comment>
    <comment ref="G35" authorId="0" shapeId="0" xr:uid="{6C6D3D61-BF65-40C8-8A36-B7EBE15BAE31}">
      <text>
        <r>
          <rPr>
            <b/>
            <sz val="9"/>
            <color indexed="81"/>
            <rFont val="Tahoma"/>
            <family val="2"/>
          </rPr>
          <t xml:space="preserve">YD:
</t>
        </r>
        <r>
          <rPr>
            <sz val="9"/>
            <color indexed="81"/>
            <rFont val="Tahoma"/>
            <family val="2"/>
          </rPr>
          <t xml:space="preserve">Total number of hours worked (OT + Non-OT)
</t>
        </r>
      </text>
    </comment>
    <comment ref="M35" authorId="0" shapeId="0" xr:uid="{57E389EE-2B8F-4AD8-8C49-396FA18BA2F1}">
      <text>
        <r>
          <rPr>
            <b/>
            <sz val="9"/>
            <color indexed="81"/>
            <rFont val="Tahoma"/>
            <family val="2"/>
          </rPr>
          <t xml:space="preserve">YD:
</t>
        </r>
        <r>
          <rPr>
            <sz val="9"/>
            <color indexed="81"/>
            <rFont val="Tahoma"/>
            <family val="2"/>
          </rPr>
          <t xml:space="preserve">Total number of OT Hours
</t>
        </r>
      </text>
    </comment>
    <comment ref="G39" authorId="0" shapeId="0" xr:uid="{782765B1-780A-4033-A12F-3077C47AD8E9}">
      <text>
        <r>
          <rPr>
            <sz val="9"/>
            <color indexed="81"/>
            <rFont val="Tahoma"/>
            <family val="2"/>
          </rPr>
          <t xml:space="preserve">To ensure accurancy leave data
</t>
        </r>
      </text>
    </comment>
    <comment ref="G40" authorId="0" shapeId="0" xr:uid="{1E781C52-E427-45A4-8467-74B9C7CFDBC0}">
      <text>
        <r>
          <rPr>
            <sz val="9"/>
            <color indexed="81"/>
            <rFont val="Tahoma"/>
            <family val="2"/>
          </rPr>
          <t xml:space="preserve">If training hours were to be in the same list, it would mean that someone may not be able to work and have training before or after that on the same day, which does not make sense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Anonoymous</author>
  </authors>
  <commentList>
    <comment ref="C2" authorId="0" shapeId="0" xr:uid="{EA41B980-46B9-46F2-B720-0130A70B09B9}">
      <text>
        <r>
          <rPr>
            <sz val="9"/>
            <color indexed="81"/>
            <rFont val="Tahoma"/>
            <family val="2"/>
          </rPr>
          <t>Type in the correct month
January: Jan
February: Feb
March: March
April: April
May: May
June: June
July: July
August: Aug
September: Sep
October: Oct
November: Nov
December: Dec</t>
        </r>
      </text>
    </comment>
    <comment ref="E2" authorId="0" shapeId="0" xr:uid="{D8895BFB-F198-447F-9155-767B60060833}">
      <text>
        <r>
          <rPr>
            <sz val="9"/>
            <color indexed="81"/>
            <rFont val="Tahoma"/>
            <family val="2"/>
          </rPr>
          <t>Fill this cell since it is pink</t>
        </r>
      </text>
    </comment>
    <comment ref="G2" authorId="0" shapeId="0" xr:uid="{6F7AFC59-0D02-44F9-8B6C-6FB49EC71C03}">
      <text>
        <r>
          <rPr>
            <sz val="9"/>
            <color indexed="81"/>
            <rFont val="Tahoma"/>
            <family val="2"/>
          </rPr>
          <t>Fill this cell since it is pink</t>
        </r>
      </text>
    </comment>
    <comment ref="H2" authorId="0" shapeId="0" xr:uid="{75865415-5347-4FFC-8597-BCE05E228E29}">
      <text>
        <r>
          <rPr>
            <b/>
            <sz val="9"/>
            <color indexed="81"/>
            <rFont val="Tahoma"/>
            <family val="2"/>
          </rPr>
          <t xml:space="preserve">YD:
</t>
        </r>
        <r>
          <rPr>
            <sz val="9"/>
            <color indexed="81"/>
            <rFont val="Tahoma"/>
            <family val="2"/>
          </rPr>
          <t xml:space="preserve">Click here to import day and calculate OT Hours
</t>
        </r>
      </text>
    </comment>
    <comment ref="C3" authorId="0" shapeId="0" xr:uid="{37CD9421-63AC-4B42-9C8A-3FA121DC7A5A}">
      <text>
        <r>
          <rPr>
            <sz val="9"/>
            <color indexed="81"/>
            <rFont val="Tahoma"/>
            <family val="2"/>
          </rPr>
          <t>Click this button to erase start time data
Fill this row (since it is in pink) with data. 
1) No work, leave it blank
2) On course = CSE
3) Overseas Leave = OL
4) Local Leave = LL
5) Medical Leave/Hopsitalisation = MC
If that month has no 31st, leave it blank
Type in HH:MM:SS AM/PM format</t>
        </r>
      </text>
    </comment>
    <comment ref="D3" authorId="0" shapeId="0" xr:uid="{F6DC50DE-7EB1-4394-AE86-C85F64E19091}">
      <text>
        <r>
          <rPr>
            <sz val="9"/>
            <color indexed="81"/>
            <rFont val="Tahoma"/>
            <family val="2"/>
          </rPr>
          <t xml:space="preserve">Click this button to erase end time data
Fill this row (since it is in pink) with data. 
1) No work, leave it blank
2) On course = CSE
3) Overseas Leave = OL
4) Local Leave = LL
5) Medical Leave/Hopsitalisation = MC
If that month has no 31st, leave it blank
Type in HH:MM:SS AM/PM format
</t>
        </r>
      </text>
    </comment>
    <comment ref="F3" authorId="0" shapeId="0" xr:uid="{B8F9EAE4-EBB0-4079-B8B3-5F63D61EA477}">
      <text>
        <r>
          <rPr>
            <sz val="9"/>
            <color indexed="81"/>
            <rFont val="Tahoma"/>
            <family val="2"/>
          </rPr>
          <t xml:space="preserve">Type in Y if the day is a public holiday, otherwise leave cell blank
</t>
        </r>
      </text>
    </comment>
    <comment ref="G35" authorId="0" shapeId="0" xr:uid="{5CC25718-AD37-4916-A661-13ACA3E7D43B}">
      <text>
        <r>
          <rPr>
            <b/>
            <sz val="9"/>
            <color indexed="81"/>
            <rFont val="Tahoma"/>
            <family val="2"/>
          </rPr>
          <t xml:space="preserve">YD:
</t>
        </r>
        <r>
          <rPr>
            <sz val="9"/>
            <color indexed="81"/>
            <rFont val="Tahoma"/>
            <family val="2"/>
          </rPr>
          <t xml:space="preserve">Total number of hours worked (OT + Non-OT)
</t>
        </r>
      </text>
    </comment>
    <comment ref="M35" authorId="0" shapeId="0" xr:uid="{7082D158-AC80-4395-B9DE-77A1C7F0F87F}">
      <text>
        <r>
          <rPr>
            <b/>
            <sz val="9"/>
            <color indexed="81"/>
            <rFont val="Tahoma"/>
            <family val="2"/>
          </rPr>
          <t xml:space="preserve">YD:
</t>
        </r>
        <r>
          <rPr>
            <sz val="9"/>
            <color indexed="81"/>
            <rFont val="Tahoma"/>
            <family val="2"/>
          </rPr>
          <t xml:space="preserve">Total number of OT Hours
</t>
        </r>
      </text>
    </comment>
    <comment ref="G39" authorId="0" shapeId="0" xr:uid="{16F3842C-E497-4C9E-AEE8-69D3470D83A0}">
      <text>
        <r>
          <rPr>
            <sz val="9"/>
            <color indexed="81"/>
            <rFont val="Tahoma"/>
            <family val="2"/>
          </rPr>
          <t xml:space="preserve">To ensure accurancy leave data
</t>
        </r>
      </text>
    </comment>
    <comment ref="G40" authorId="0" shapeId="0" xr:uid="{031F9AB4-F748-4437-8DC4-96371CC45AA9}">
      <text>
        <r>
          <rPr>
            <sz val="9"/>
            <color indexed="81"/>
            <rFont val="Tahoma"/>
            <family val="2"/>
          </rPr>
          <t xml:space="preserve">If training hours were to be in the same list, it would mean that someone may not be able to work and have training before or after that on the same day, which does not make sense
</t>
        </r>
      </text>
    </comment>
  </commentList>
</comments>
</file>

<file path=xl/sharedStrings.xml><?xml version="1.0" encoding="utf-8"?>
<sst xmlns="http://schemas.openxmlformats.org/spreadsheetml/2006/main" count="1521" uniqueCount="258">
  <si>
    <t>Start</t>
  </si>
  <si>
    <t>End</t>
  </si>
  <si>
    <t>Day</t>
  </si>
  <si>
    <t>PH</t>
  </si>
  <si>
    <t>SA</t>
  </si>
  <si>
    <t>SU</t>
  </si>
  <si>
    <t>Date</t>
  </si>
  <si>
    <t>X1.5</t>
  </si>
  <si>
    <t>X2.0</t>
  </si>
  <si>
    <t>Total</t>
  </si>
  <si>
    <t>N</t>
  </si>
  <si>
    <t>Y</t>
  </si>
  <si>
    <t>OT Hours</t>
  </si>
  <si>
    <t>Month</t>
  </si>
  <si>
    <t>Staff Code</t>
  </si>
  <si>
    <t>O</t>
  </si>
  <si>
    <t>X3.0</t>
  </si>
  <si>
    <t>X4.0</t>
  </si>
  <si>
    <t>T</t>
  </si>
  <si>
    <t>SUMMARY OF ATTENDANCE FOR THE MONTH OF NOVEMBER 2017</t>
  </si>
  <si>
    <t>W</t>
  </si>
  <si>
    <t xml:space="preserve">T </t>
  </si>
  <si>
    <t>F</t>
  </si>
  <si>
    <t xml:space="preserve">S </t>
  </si>
  <si>
    <t>M</t>
  </si>
  <si>
    <t xml:space="preserve">M </t>
  </si>
  <si>
    <t>SHIFT</t>
  </si>
  <si>
    <t>DUTY OFFICER</t>
  </si>
  <si>
    <t>D</t>
  </si>
  <si>
    <t>Night</t>
  </si>
  <si>
    <t>RELIEF OFFICER</t>
  </si>
  <si>
    <t>Legend:</t>
  </si>
  <si>
    <t xml:space="preserve">D : Day Shift                 O : Day Off                          OJT : On Job Training           </t>
  </si>
  <si>
    <t>CSE: Course</t>
  </si>
  <si>
    <t xml:space="preserve">N : Night Shift             PH : Public Holiday           MC : Medical Leave       </t>
  </si>
  <si>
    <t>Name</t>
  </si>
  <si>
    <t>Basic Pay</t>
  </si>
  <si>
    <t>Job Title</t>
  </si>
  <si>
    <t>Gender</t>
  </si>
  <si>
    <t>Age</t>
  </si>
  <si>
    <t>Hour Rate</t>
  </si>
  <si>
    <t>Leave Entitled</t>
  </si>
  <si>
    <t>Ahmad</t>
  </si>
  <si>
    <t>Sally</t>
  </si>
  <si>
    <t>Nally</t>
  </si>
  <si>
    <t>Ke Qin</t>
  </si>
  <si>
    <t>Yong Chang</t>
  </si>
  <si>
    <t>00003</t>
  </si>
  <si>
    <t>00004</t>
  </si>
  <si>
    <t>Simon</t>
  </si>
  <si>
    <t>David</t>
  </si>
  <si>
    <t>Jackson</t>
  </si>
  <si>
    <t>Lucy</t>
  </si>
  <si>
    <t>SSO</t>
  </si>
  <si>
    <t>SO</t>
  </si>
  <si>
    <t>SSS</t>
  </si>
  <si>
    <t>SS</t>
  </si>
  <si>
    <t>Date of Birth</t>
  </si>
  <si>
    <t>Mazri</t>
  </si>
  <si>
    <t>Mandy</t>
  </si>
  <si>
    <t>Jannah</t>
  </si>
  <si>
    <t>Farizah</t>
  </si>
  <si>
    <t>00011</t>
  </si>
  <si>
    <t>Cindy</t>
  </si>
  <si>
    <t>Rong Xuan</t>
  </si>
  <si>
    <t>Xing Wen</t>
  </si>
  <si>
    <t>Part/Full</t>
  </si>
  <si>
    <t>Done by</t>
  </si>
  <si>
    <t>Sub-Total Hours</t>
  </si>
  <si>
    <t>Date of Report</t>
  </si>
  <si>
    <t>Day Rate</t>
  </si>
  <si>
    <t>John</t>
  </si>
  <si>
    <t>P</t>
  </si>
  <si>
    <t>Siti</t>
  </si>
  <si>
    <t>OT Pay</t>
  </si>
  <si>
    <t>Leave Left</t>
  </si>
  <si>
    <t>Total Training</t>
  </si>
  <si>
    <t>Done By</t>
  </si>
  <si>
    <t>Normal Hours (For Part-Timer Use)</t>
  </si>
  <si>
    <t>Dummy</t>
  </si>
  <si>
    <t>Nett Pay</t>
  </si>
  <si>
    <t>PR</t>
  </si>
  <si>
    <t>Nationality</t>
  </si>
  <si>
    <t>S</t>
  </si>
  <si>
    <t>00019</t>
  </si>
  <si>
    <t>Status</t>
  </si>
  <si>
    <t>&lt; 55</t>
  </si>
  <si>
    <t>55 - 60</t>
  </si>
  <si>
    <t>60 - 65</t>
  </si>
  <si>
    <t>&gt; 65</t>
  </si>
  <si>
    <t>Total Salary</t>
  </si>
  <si>
    <t>CPF Employer</t>
  </si>
  <si>
    <t>CPF Employee</t>
  </si>
  <si>
    <t>Salary Range</t>
  </si>
  <si>
    <t>&lt; 50</t>
  </si>
  <si>
    <t>50.01 - 500</t>
  </si>
  <si>
    <t>500.01 - 749.99</t>
  </si>
  <si>
    <t>&gt; 750</t>
  </si>
  <si>
    <t>Sub-Total</t>
  </si>
  <si>
    <t>Test</t>
  </si>
  <si>
    <t>CDAC Contribution</t>
  </si>
  <si>
    <t>Training Hours</t>
  </si>
  <si>
    <t>LL</t>
  </si>
  <si>
    <t>No. of half day leave</t>
  </si>
  <si>
    <t>Hours</t>
  </si>
  <si>
    <t>Other additional payment/deduction (One-off)</t>
  </si>
  <si>
    <t>Dec</t>
  </si>
  <si>
    <t>Jan</t>
  </si>
  <si>
    <t>YD</t>
  </si>
  <si>
    <t>PR &lt; 1</t>
  </si>
  <si>
    <t>PR 1</t>
  </si>
  <si>
    <t>PR 2</t>
  </si>
  <si>
    <t>PR 3</t>
  </si>
  <si>
    <t>FR</t>
  </si>
  <si>
    <t>Remarks</t>
  </si>
  <si>
    <t>Years PR</t>
  </si>
  <si>
    <t>Years in co</t>
  </si>
  <si>
    <t>Range</t>
  </si>
  <si>
    <t>X1.0</t>
  </si>
  <si>
    <t>NIL</t>
  </si>
  <si>
    <t>Main Menu</t>
  </si>
  <si>
    <t>Content</t>
  </si>
  <si>
    <t>Item</t>
  </si>
  <si>
    <t>Sheet</t>
  </si>
  <si>
    <t>Details</t>
  </si>
  <si>
    <t>IMMEDIATE DATA</t>
  </si>
  <si>
    <t>Feb</t>
  </si>
  <si>
    <t>Total MC</t>
  </si>
  <si>
    <t xml:space="preserve"> MC</t>
  </si>
  <si>
    <t>Leave</t>
  </si>
  <si>
    <t>Training</t>
  </si>
  <si>
    <t>Working days</t>
  </si>
  <si>
    <t>Working hours/day</t>
  </si>
  <si>
    <t>Mar</t>
  </si>
  <si>
    <t>Apr</t>
  </si>
  <si>
    <t>May</t>
  </si>
  <si>
    <t>Jun</t>
  </si>
  <si>
    <t>Jul</t>
  </si>
  <si>
    <t>Aug</t>
  </si>
  <si>
    <t>Sep</t>
  </si>
  <si>
    <t>Oct</t>
  </si>
  <si>
    <t>Nov</t>
  </si>
  <si>
    <t>CPF (EE)</t>
  </si>
  <si>
    <t>CPF (ER)</t>
  </si>
  <si>
    <t>BASIC DATA</t>
  </si>
  <si>
    <t>Attendance</t>
  </si>
  <si>
    <t>Timetable</t>
  </si>
  <si>
    <t>StaffData</t>
  </si>
  <si>
    <t>CPF</t>
  </si>
  <si>
    <t>PaymentData</t>
  </si>
  <si>
    <t>XXX Pte LTD</t>
  </si>
  <si>
    <t>XXX</t>
  </si>
  <si>
    <t>SITE : XXX</t>
  </si>
  <si>
    <t>Other</t>
  </si>
  <si>
    <t>PR 1st Year</t>
  </si>
  <si>
    <t>PR 2nd Year</t>
  </si>
  <si>
    <t>PR 3rd Year or
 Singaporean</t>
  </si>
  <si>
    <t>Start date of PR</t>
  </si>
  <si>
    <t>Date employed</t>
  </si>
  <si>
    <t>WS</t>
  </si>
  <si>
    <t>PR1</t>
  </si>
  <si>
    <t>Attendance of Personnel</t>
  </si>
  <si>
    <t>Timetable of Personnel</t>
  </si>
  <si>
    <t>To copy from monthly attendance sheet</t>
  </si>
  <si>
    <t>To extract data on dates and which day and know whether there is public holiday</t>
  </si>
  <si>
    <t>To key in data for each personnel on a monthly basis for computation of staff monthly payroll, leave, MC, etc</t>
  </si>
  <si>
    <t>1) Fill in all pink coloured cells. The rest of the cells are to be automated and derived from values of the pink coloured cells
2) Click on "Compute Payroll" to compute the payroll of personnel for that month
3) Click on "Start Time" to clear Start Time column, "End Time" to clear End Time column</t>
  </si>
  <si>
    <t>Menu</t>
  </si>
  <si>
    <t>Staff Data</t>
  </si>
  <si>
    <t>To store all staff details required for computation of staff monthly payroll, leave, MC, etc</t>
  </si>
  <si>
    <t>To update the number of working days (cell C3) monthly</t>
  </si>
  <si>
    <t>CPF Calculation Rules</t>
  </si>
  <si>
    <t>To change if there are changes in rules of CPF</t>
  </si>
  <si>
    <t>FINAL DATA</t>
  </si>
  <si>
    <t>TESTING DATA</t>
  </si>
  <si>
    <t>Cat1</t>
  </si>
  <si>
    <t>Cat2</t>
  </si>
  <si>
    <t>Cat3</t>
  </si>
  <si>
    <t>Cat4</t>
  </si>
  <si>
    <t>Payment, Leave, MC</t>
  </si>
  <si>
    <t>Data</t>
  </si>
  <si>
    <t>CPF Category 1</t>
  </si>
  <si>
    <t>CPF Category 2</t>
  </si>
  <si>
    <t>CPF Category 3</t>
  </si>
  <si>
    <t>CPF Category 4</t>
  </si>
  <si>
    <t>To store each personnel monthly payroll, leave, MC, etc</t>
  </si>
  <si>
    <t>To check through if there is anything wrong</t>
  </si>
  <si>
    <t>To store test data for CPF (1st Case)</t>
  </si>
  <si>
    <t>To store test data for CPF (2nd Case)</t>
  </si>
  <si>
    <t>To store test data for CPF (3rd Case)</t>
  </si>
  <si>
    <t>To store test data for CPF (4th Case)</t>
  </si>
  <si>
    <t>To store all rules with regards to calculating CPF and computing CPF amount if required. Based on Annex A, E, F of PDF in this folder</t>
  </si>
  <si>
    <t>A00003</t>
  </si>
  <si>
    <t>A00004</t>
  </si>
  <si>
    <t>A00005</t>
  </si>
  <si>
    <t>A00006</t>
  </si>
  <si>
    <t>A00007</t>
  </si>
  <si>
    <t>A00008</t>
  </si>
  <si>
    <t>A00009</t>
  </si>
  <si>
    <t>A00010</t>
  </si>
  <si>
    <t>A00012</t>
  </si>
  <si>
    <t>A00013</t>
  </si>
  <si>
    <t>A00014</t>
  </si>
  <si>
    <t>A00015</t>
  </si>
  <si>
    <t>A00016</t>
  </si>
  <si>
    <t>A00017</t>
  </si>
  <si>
    <t>A00018</t>
  </si>
  <si>
    <t>A00019</t>
  </si>
  <si>
    <t>A00020</t>
  </si>
  <si>
    <t>A00021</t>
  </si>
  <si>
    <t>A00022</t>
  </si>
  <si>
    <t>A00023</t>
  </si>
  <si>
    <t>A00024</t>
  </si>
  <si>
    <t>A00025</t>
  </si>
  <si>
    <t>A00026</t>
  </si>
  <si>
    <t>A00027</t>
  </si>
  <si>
    <t>A00028</t>
  </si>
  <si>
    <t>A00029</t>
  </si>
  <si>
    <t>A00030</t>
  </si>
  <si>
    <t>A00031</t>
  </si>
  <si>
    <t>A00032</t>
  </si>
  <si>
    <t>A00033</t>
  </si>
  <si>
    <t>A00034</t>
  </si>
  <si>
    <t>A00035</t>
  </si>
  <si>
    <t>A00036</t>
  </si>
  <si>
    <t>A00037</t>
  </si>
  <si>
    <t>A00038</t>
  </si>
  <si>
    <t>A00039</t>
  </si>
  <si>
    <t>A00040</t>
  </si>
  <si>
    <t>A00041</t>
  </si>
  <si>
    <t>A00042</t>
  </si>
  <si>
    <t>A00043</t>
  </si>
  <si>
    <t>A00044</t>
  </si>
  <si>
    <t>A00045</t>
  </si>
  <si>
    <t>A00046</t>
  </si>
  <si>
    <t>A00047</t>
  </si>
  <si>
    <t>A00048</t>
  </si>
  <si>
    <t>A00049</t>
  </si>
  <si>
    <t>A00050</t>
  </si>
  <si>
    <t>A00051</t>
  </si>
  <si>
    <t>A00052</t>
  </si>
  <si>
    <t>A00053</t>
  </si>
  <si>
    <t>A00054</t>
  </si>
  <si>
    <t>A00055</t>
  </si>
  <si>
    <t>A00057</t>
  </si>
  <si>
    <t>A00058</t>
  </si>
  <si>
    <t>A00059</t>
  </si>
  <si>
    <t>A00060</t>
  </si>
  <si>
    <t>A00061</t>
  </si>
  <si>
    <t>A00062</t>
  </si>
  <si>
    <t>A00063</t>
  </si>
  <si>
    <t>A00064</t>
  </si>
  <si>
    <t>A00065</t>
  </si>
  <si>
    <t>A00066</t>
  </si>
  <si>
    <t>A00001</t>
  </si>
  <si>
    <t>A00002</t>
  </si>
  <si>
    <t>A00011</t>
  </si>
  <si>
    <t>A00056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</si>
</sst>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F400]h:mm:ss\ AM/PM"/>
    <numFmt numFmtId="165" formatCode="0.0000"/>
  </numFmts>
  <fonts count="4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Arial"/>
      <family val="2"/>
    </font>
    <font>
      <sz val="11"/>
      <color rgb="FFFF0000"/>
      <name val="Calibri"/>
      <family val="2"/>
      <scheme val="minor"/>
    </font>
    <font>
      <sz val="12"/>
      <color indexed="60"/>
      <name val="Castellar"/>
      <family val="1"/>
    </font>
    <font>
      <sz val="8"/>
      <color indexed="60"/>
      <name val="Castellar"/>
      <family val="1"/>
    </font>
    <font>
      <sz val="11"/>
      <name val="Calibri"/>
      <family val="2"/>
    </font>
    <font>
      <sz val="8"/>
      <name val="Castellar"/>
      <family val="1"/>
    </font>
    <font>
      <b/>
      <sz val="9"/>
      <color theme="1"/>
      <name val="Calibri"/>
      <family val="2"/>
      <scheme val="minor"/>
    </font>
    <font>
      <b/>
      <sz val="9"/>
      <color indexed="8"/>
      <name val="Calibri"/>
      <family val="2"/>
    </font>
    <font>
      <sz val="11"/>
      <color indexed="10"/>
      <name val="Calibri"/>
      <family val="2"/>
    </font>
    <font>
      <sz val="8"/>
      <color indexed="8"/>
      <name val="Castellar"/>
      <family val="1"/>
    </font>
    <font>
      <sz val="11"/>
      <name val="Calibri"/>
      <family val="2"/>
      <scheme val="minor"/>
    </font>
    <font>
      <sz val="8"/>
      <color rgb="FFFF0000"/>
      <name val="Castellar"/>
      <family val="1"/>
    </font>
    <font>
      <sz val="11"/>
      <color indexed="8"/>
      <name val="Calibri"/>
      <family val="2"/>
    </font>
    <font>
      <b/>
      <sz val="9"/>
      <color indexed="10"/>
      <name val="Calibri"/>
      <family val="2"/>
    </font>
    <font>
      <b/>
      <sz val="11"/>
      <color indexed="8"/>
      <name val="Calibri"/>
      <family val="2"/>
    </font>
    <font>
      <b/>
      <sz val="18"/>
      <color indexed="8"/>
      <name val="Calibri"/>
      <family val="2"/>
    </font>
    <font>
      <b/>
      <sz val="12"/>
      <color rgb="FF00B0F0"/>
      <name val="Calibri"/>
      <family val="2"/>
    </font>
    <font>
      <b/>
      <sz val="11"/>
      <name val="Calibri"/>
      <family val="2"/>
    </font>
    <font>
      <b/>
      <sz val="9"/>
      <name val="Calibri"/>
      <family val="2"/>
    </font>
    <font>
      <b/>
      <sz val="9"/>
      <color rgb="FFFF0000"/>
      <name val="Calibri"/>
      <family val="2"/>
    </font>
    <font>
      <b/>
      <sz val="9"/>
      <color theme="1"/>
      <name val="Calibri"/>
      <family val="2"/>
    </font>
    <font>
      <sz val="12"/>
      <name val="Calibri"/>
      <family val="2"/>
      <scheme val="minor"/>
    </font>
    <font>
      <sz val="12"/>
      <color theme="1"/>
      <name val="Calibri"/>
      <family val="2"/>
    </font>
    <font>
      <b/>
      <sz val="9"/>
      <name val="Calibri"/>
      <family val="2"/>
      <scheme val="minor"/>
    </font>
    <font>
      <b/>
      <sz val="12"/>
      <color theme="1"/>
      <name val="Calibri"/>
      <family val="2"/>
      <scheme val="minor"/>
    </font>
    <font>
      <sz val="12"/>
      <color theme="1"/>
      <name val="Calibri"/>
      <family val="2"/>
      <scheme val="minor"/>
    </font>
    <font>
      <b/>
      <sz val="9"/>
      <color rgb="FFFF0000"/>
      <name val="Calibri"/>
      <family val="2"/>
      <scheme val="minor"/>
    </font>
    <font>
      <b/>
      <sz val="8"/>
      <name val="Calibri"/>
      <family val="2"/>
      <scheme val="minor"/>
    </font>
    <font>
      <b/>
      <u/>
      <sz val="11"/>
      <color indexed="8"/>
      <name val="Calibri"/>
      <family val="2"/>
    </font>
    <font>
      <b/>
      <sz val="12"/>
      <name val="Calibri"/>
      <family val="2"/>
    </font>
    <font>
      <b/>
      <sz val="11"/>
      <color theme="1"/>
      <name val="Arial"/>
      <family val="2"/>
    </font>
    <font>
      <b/>
      <sz val="11"/>
      <color rgb="FF000000"/>
      <name val="Arial"/>
      <family val="2"/>
    </font>
    <font>
      <sz val="11"/>
      <color theme="1"/>
      <name val="Calibri"/>
      <family val="2"/>
      <scheme val="minor"/>
    </font>
    <font>
      <b/>
      <sz val="11"/>
      <color theme="0"/>
      <name val="Arial"/>
      <family val="2"/>
    </font>
    <font>
      <b/>
      <u/>
      <sz val="11"/>
      <color rgb="FF000000"/>
      <name val="Calibri"/>
      <family val="2"/>
    </font>
    <font>
      <u/>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b/>
      <sz val="20"/>
      <color rgb="FFFFFF00"/>
      <name val="Calibri"/>
      <family val="2"/>
      <scheme val="minor"/>
    </font>
    <font>
      <b/>
      <sz val="14"/>
      <color rgb="FF00B0F0"/>
      <name val="Calibri"/>
      <family val="2"/>
      <scheme val="minor"/>
    </font>
    <font>
      <b/>
      <sz val="12"/>
      <color theme="0"/>
      <name val="Calibri"/>
      <family val="2"/>
      <scheme val="minor"/>
    </font>
    <font>
      <b/>
      <sz val="11"/>
      <color rgb="FFFF0000"/>
      <name val="Calibri"/>
      <family val="2"/>
      <scheme val="minor"/>
    </font>
  </fonts>
  <fills count="23">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7"/>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indexed="22"/>
        <bgColor indexed="64"/>
      </patternFill>
    </fill>
    <fill>
      <patternFill patternType="solid">
        <fgColor theme="0"/>
        <bgColor indexed="64"/>
      </patternFill>
    </fill>
    <fill>
      <patternFill patternType="solid">
        <fgColor theme="4"/>
        <bgColor indexed="64"/>
      </patternFill>
    </fill>
    <fill>
      <patternFill patternType="solid">
        <fgColor them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5"/>
        <bgColor indexed="64"/>
      </patternFill>
    </fill>
    <fill>
      <patternFill patternType="solid">
        <fgColor rgb="FF00B050"/>
        <bgColor indexed="64"/>
      </patternFill>
    </fill>
    <fill>
      <patternFill patternType="solid">
        <fgColor rgb="FF00B0F0"/>
        <bgColor indexed="64"/>
      </patternFill>
    </fill>
    <fill>
      <patternFill patternType="solid">
        <fgColor theme="9"/>
        <bgColor indexed="64"/>
      </patternFill>
    </fill>
    <fill>
      <patternFill patternType="solid">
        <fgColor rgb="FF7030A0"/>
        <bgColor indexed="64"/>
      </patternFill>
    </fill>
  </fills>
  <borders count="8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thin">
        <color indexed="8"/>
      </bottom>
      <diagonal/>
    </border>
    <border>
      <left style="thin">
        <color indexed="64"/>
      </left>
      <right style="thin">
        <color indexed="64"/>
      </right>
      <top style="medium">
        <color indexed="64"/>
      </top>
      <bottom style="thin">
        <color indexed="8"/>
      </bottom>
      <diagonal/>
    </border>
    <border>
      <left style="thin">
        <color indexed="64"/>
      </left>
      <right style="medium">
        <color indexed="64"/>
      </right>
      <top style="medium">
        <color indexed="64"/>
      </top>
      <bottom style="thin">
        <color indexed="8"/>
      </bottom>
      <diagonal/>
    </border>
    <border>
      <left style="medium">
        <color indexed="64"/>
      </left>
      <right style="thin">
        <color indexed="64"/>
      </right>
      <top style="thin">
        <color indexed="8"/>
      </top>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medium">
        <color indexed="64"/>
      </bottom>
      <diagonal/>
    </border>
    <border>
      <left style="thin">
        <color indexed="64"/>
      </left>
      <right style="medium">
        <color indexed="64"/>
      </right>
      <top style="thin">
        <color indexed="8"/>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medium">
        <color theme="0"/>
      </right>
      <top/>
      <bottom/>
      <diagonal/>
    </border>
    <border>
      <left style="medium">
        <color theme="0"/>
      </left>
      <right/>
      <top style="medium">
        <color theme="0"/>
      </top>
      <bottom style="thin">
        <color theme="0"/>
      </bottom>
      <diagonal/>
    </border>
    <border>
      <left/>
      <right/>
      <top style="medium">
        <color theme="0"/>
      </top>
      <bottom style="thin">
        <color theme="0"/>
      </bottom>
      <diagonal/>
    </border>
    <border>
      <left/>
      <right style="medium">
        <color theme="0"/>
      </right>
      <top style="medium">
        <color theme="0"/>
      </top>
      <bottom style="thin">
        <color theme="0"/>
      </bottom>
      <diagonal/>
    </border>
    <border>
      <left style="medium">
        <color theme="0"/>
      </left>
      <right/>
      <top style="thin">
        <color theme="0"/>
      </top>
      <bottom/>
      <diagonal/>
    </border>
    <border>
      <left/>
      <right style="medium">
        <color theme="0"/>
      </right>
      <top style="thin">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rgb="FFFF0000"/>
      </left>
      <right/>
      <top/>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medium">
        <color rgb="FF00B0F0"/>
      </left>
      <right style="medium">
        <color indexed="64"/>
      </right>
      <top style="medium">
        <color rgb="FF00B0F0"/>
      </top>
      <bottom style="medium">
        <color rgb="FF00B0F0"/>
      </bottom>
      <diagonal/>
    </border>
  </borders>
  <cellStyleXfs count="4">
    <xf numFmtId="0" fontId="0" fillId="0" borderId="0"/>
    <xf numFmtId="0" fontId="10" fillId="0" borderId="23" applyBorder="0">
      <alignment horizontal="center" vertical="center"/>
    </xf>
    <xf numFmtId="44" fontId="36" fillId="0" borderId="0" applyFont="0" applyFill="0" applyBorder="0" applyAlignment="0" applyProtection="0"/>
    <xf numFmtId="0" fontId="42" fillId="0" borderId="0" applyNumberFormat="0" applyFill="0" applyBorder="0" applyAlignment="0" applyProtection="0"/>
  </cellStyleXfs>
  <cellXfs count="35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applyAlignment="1">
      <alignment horizontal="center" vertical="center"/>
    </xf>
    <xf numFmtId="164" fontId="0" fillId="0" borderId="0" xfId="0" applyNumberFormat="1" applyFill="1" applyAlignment="1">
      <alignment horizontal="center" vertical="center"/>
    </xf>
    <xf numFmtId="164" fontId="4" fillId="3" borderId="4" xfId="0" applyNumberFormat="1" applyFont="1" applyFill="1" applyBorder="1" applyAlignment="1">
      <alignment horizontal="center" vertical="center"/>
    </xf>
    <xf numFmtId="164" fontId="4" fillId="3" borderId="5" xfId="0" applyNumberFormat="1" applyFont="1" applyFill="1" applyBorder="1" applyAlignment="1">
      <alignment horizontal="center" vertical="center"/>
    </xf>
    <xf numFmtId="0" fontId="0" fillId="0" borderId="0" xfId="0" applyBorder="1"/>
    <xf numFmtId="0" fontId="1" fillId="0" borderId="0" xfId="0" applyFont="1"/>
    <xf numFmtId="0" fontId="0" fillId="0" borderId="20" xfId="0" applyFill="1" applyBorder="1" applyAlignment="1">
      <alignment horizontal="center" vertical="center"/>
    </xf>
    <xf numFmtId="0" fontId="0" fillId="0" borderId="0" xfId="0" applyAlignment="1">
      <alignment horizontal="left" vertical="center"/>
    </xf>
    <xf numFmtId="0" fontId="6" fillId="0" borderId="0" xfId="0" applyFont="1" applyFill="1" applyAlignment="1">
      <alignment vertical="center"/>
    </xf>
    <xf numFmtId="0" fontId="7" fillId="0" borderId="0" xfId="0" applyFont="1" applyFill="1" applyAlignment="1">
      <alignment vertical="center"/>
    </xf>
    <xf numFmtId="0" fontId="8" fillId="0" borderId="0" xfId="0" applyFont="1" applyFill="1" applyAlignment="1">
      <alignment vertical="center"/>
    </xf>
    <xf numFmtId="0" fontId="9" fillId="0" borderId="0" xfId="0" applyFont="1" applyFill="1" applyAlignment="1">
      <alignment horizontal="center" vertical="center"/>
    </xf>
    <xf numFmtId="0" fontId="11" fillId="0" borderId="0" xfId="1" applyFont="1" applyFill="1" applyBorder="1" applyAlignment="1">
      <alignment horizontal="center" vertical="center"/>
    </xf>
    <xf numFmtId="0" fontId="12" fillId="0"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0" fillId="0" borderId="0" xfId="0" applyFont="1" applyFill="1" applyAlignment="1">
      <alignment horizontal="center" vertical="center"/>
    </xf>
    <xf numFmtId="0" fontId="10" fillId="0" borderId="0" xfId="0" applyFont="1" applyFill="1" applyAlignment="1">
      <alignment horizontal="center" vertical="center"/>
    </xf>
    <xf numFmtId="0" fontId="15" fillId="0" borderId="0" xfId="0" applyFont="1" applyFill="1" applyAlignment="1">
      <alignment horizontal="center" vertical="center"/>
    </xf>
    <xf numFmtId="0" fontId="0" fillId="0" borderId="0" xfId="0" applyAlignment="1">
      <alignment vertical="center"/>
    </xf>
    <xf numFmtId="0" fontId="0" fillId="0" borderId="0" xfId="0" applyFill="1" applyAlignment="1">
      <alignment vertical="center"/>
    </xf>
    <xf numFmtId="0" fontId="16" fillId="0" borderId="0" xfId="0" applyFont="1" applyFill="1" applyAlignment="1">
      <alignment vertical="center"/>
    </xf>
    <xf numFmtId="0" fontId="12" fillId="0" borderId="0" xfId="0" applyFont="1" applyFill="1" applyAlignment="1">
      <alignment vertical="center"/>
    </xf>
    <xf numFmtId="0" fontId="17" fillId="0" borderId="0" xfId="1"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5" fillId="0" borderId="0" xfId="0" applyFont="1" applyFill="1" applyAlignment="1">
      <alignment horizontal="center" vertical="center"/>
    </xf>
    <xf numFmtId="0" fontId="19" fillId="0" borderId="0" xfId="0" applyFont="1" applyFill="1" applyBorder="1" applyAlignment="1">
      <alignment vertical="center"/>
    </xf>
    <xf numFmtId="0" fontId="19" fillId="0" borderId="0" xfId="0" applyFont="1" applyFill="1" applyBorder="1" applyAlignment="1">
      <alignment horizontal="center" vertical="center"/>
    </xf>
    <xf numFmtId="0" fontId="20" fillId="0" borderId="12" xfId="0" applyFont="1" applyFill="1" applyBorder="1" applyAlignment="1">
      <alignment vertical="center"/>
    </xf>
    <xf numFmtId="0" fontId="0" fillId="0" borderId="12" xfId="0" applyBorder="1" applyAlignment="1">
      <alignment vertical="center"/>
    </xf>
    <xf numFmtId="0" fontId="21" fillId="0" borderId="24" xfId="0" applyFont="1" applyFill="1" applyBorder="1" applyAlignment="1">
      <alignment horizontal="center" vertical="center" wrapText="1"/>
    </xf>
    <xf numFmtId="0" fontId="21" fillId="0" borderId="25" xfId="0" applyFont="1" applyFill="1" applyBorder="1" applyAlignment="1">
      <alignment horizontal="center" vertical="center" wrapText="1"/>
    </xf>
    <xf numFmtId="0" fontId="22" fillId="0" borderId="25" xfId="1" applyFont="1" applyFill="1" applyBorder="1" applyAlignment="1">
      <alignment horizontal="center" vertical="center"/>
    </xf>
    <xf numFmtId="0" fontId="22" fillId="0" borderId="25" xfId="0" applyFont="1" applyFill="1" applyBorder="1" applyAlignment="1">
      <alignment horizontal="center" vertical="center" wrapText="1"/>
    </xf>
    <xf numFmtId="0" fontId="17" fillId="10" borderId="25" xfId="0" applyFont="1" applyFill="1" applyBorder="1" applyAlignment="1">
      <alignment horizontal="center" vertical="center" wrapText="1"/>
    </xf>
    <xf numFmtId="0" fontId="22" fillId="0" borderId="26" xfId="0" applyFont="1" applyFill="1" applyBorder="1" applyAlignment="1">
      <alignment horizontal="center" vertical="center" wrapText="1"/>
    </xf>
    <xf numFmtId="0" fontId="21" fillId="0" borderId="27" xfId="0" applyFont="1" applyFill="1" applyBorder="1" applyAlignment="1">
      <alignment horizontal="center" vertical="center" wrapText="1"/>
    </xf>
    <xf numFmtId="0" fontId="14" fillId="0" borderId="28" xfId="0" applyFont="1" applyFill="1" applyBorder="1" applyAlignment="1">
      <alignment vertical="center"/>
    </xf>
    <xf numFmtId="0" fontId="22" fillId="0" borderId="29" xfId="1" applyFont="1" applyFill="1" applyBorder="1" applyAlignment="1">
      <alignment horizontal="center" vertical="center"/>
    </xf>
    <xf numFmtId="0" fontId="22" fillId="0" borderId="29" xfId="0" applyFont="1" applyFill="1" applyBorder="1" applyAlignment="1">
      <alignment horizontal="center" vertical="center" wrapText="1"/>
    </xf>
    <xf numFmtId="0" fontId="17" fillId="10" borderId="29" xfId="0" applyFont="1" applyFill="1" applyBorder="1" applyAlignment="1">
      <alignment horizontal="center" vertical="center" wrapText="1"/>
    </xf>
    <xf numFmtId="0" fontId="22" fillId="0" borderId="30" xfId="0" applyFont="1" applyFill="1" applyBorder="1" applyAlignment="1">
      <alignment horizontal="center" vertical="center" wrapText="1"/>
    </xf>
    <xf numFmtId="0" fontId="1" fillId="11" borderId="11" xfId="0" applyFont="1" applyFill="1" applyBorder="1" applyAlignment="1">
      <alignment horizontal="center" vertical="center"/>
    </xf>
    <xf numFmtId="0" fontId="1" fillId="11" borderId="31" xfId="0" applyFont="1" applyFill="1" applyBorder="1" applyAlignment="1">
      <alignment horizontal="left" vertical="center"/>
    </xf>
    <xf numFmtId="0" fontId="23" fillId="0" borderId="31" xfId="1" applyFont="1" applyFill="1" applyBorder="1" applyAlignment="1">
      <alignment horizontal="center" vertical="center"/>
    </xf>
    <xf numFmtId="0" fontId="24" fillId="0" borderId="31" xfId="1" applyFont="1" applyFill="1" applyBorder="1" applyAlignment="1">
      <alignment horizontal="center" vertical="center"/>
    </xf>
    <xf numFmtId="0" fontId="24" fillId="0" borderId="31" xfId="0" applyFont="1" applyFill="1" applyBorder="1" applyAlignment="1">
      <alignment horizontal="center" vertical="center" wrapText="1"/>
    </xf>
    <xf numFmtId="0" fontId="23" fillId="0" borderId="31" xfId="0" applyFont="1" applyFill="1" applyBorder="1" applyAlignment="1">
      <alignment horizontal="center" vertical="center" wrapText="1"/>
    </xf>
    <xf numFmtId="0" fontId="0" fillId="0" borderId="31" xfId="0" applyFill="1" applyBorder="1"/>
    <xf numFmtId="0" fontId="8" fillId="0" borderId="32" xfId="0" applyFont="1" applyFill="1" applyBorder="1" applyAlignment="1">
      <alignment horizontal="center" vertical="center" wrapText="1"/>
    </xf>
    <xf numFmtId="0" fontId="25" fillId="0" borderId="33" xfId="0" applyFont="1" applyFill="1" applyBorder="1" applyAlignment="1">
      <alignment horizontal="left" vertical="center" wrapText="1"/>
    </xf>
    <xf numFmtId="0" fontId="22" fillId="0" borderId="34" xfId="1" applyFont="1" applyFill="1" applyBorder="1" applyAlignment="1">
      <alignment horizontal="center" vertical="center"/>
    </xf>
    <xf numFmtId="0" fontId="23" fillId="0" borderId="34" xfId="1" applyFont="1" applyFill="1" applyBorder="1" applyAlignment="1">
      <alignment horizontal="center" vertical="center"/>
    </xf>
    <xf numFmtId="0" fontId="22" fillId="12" borderId="34" xfId="1" applyFont="1" applyFill="1" applyBorder="1" applyAlignment="1">
      <alignment horizontal="center" vertical="center"/>
    </xf>
    <xf numFmtId="0" fontId="22" fillId="0" borderId="31" xfId="1" applyFont="1" applyFill="1" applyBorder="1" applyAlignment="1">
      <alignment horizontal="center" vertical="center"/>
    </xf>
    <xf numFmtId="0" fontId="14" fillId="0" borderId="14" xfId="0" applyFont="1" applyBorder="1" applyAlignment="1">
      <alignment horizontal="center" vertical="center"/>
    </xf>
    <xf numFmtId="0" fontId="26" fillId="0" borderId="35" xfId="0" applyFont="1" applyFill="1" applyBorder="1" applyAlignment="1">
      <alignment horizontal="left" vertical="center" wrapText="1"/>
    </xf>
    <xf numFmtId="0" fontId="22" fillId="0" borderId="36" xfId="1" applyFont="1" applyFill="1" applyBorder="1" applyAlignment="1">
      <alignment horizontal="center" vertical="center"/>
    </xf>
    <xf numFmtId="0" fontId="22" fillId="0" borderId="21" xfId="1" applyFont="1" applyFill="1" applyBorder="1" applyAlignment="1">
      <alignment horizontal="center" vertical="center"/>
    </xf>
    <xf numFmtId="0" fontId="23" fillId="0" borderId="21" xfId="1" applyFont="1" applyFill="1" applyBorder="1" applyAlignment="1">
      <alignment horizontal="center" vertical="center"/>
    </xf>
    <xf numFmtId="0" fontId="27" fillId="0" borderId="20" xfId="0" applyFont="1" applyFill="1" applyBorder="1" applyAlignment="1">
      <alignment horizontal="center" vertical="center"/>
    </xf>
    <xf numFmtId="0" fontId="22" fillId="0" borderId="20" xfId="1" applyFont="1" applyFill="1" applyBorder="1" applyAlignment="1">
      <alignment horizontal="center" vertical="center"/>
    </xf>
    <xf numFmtId="0" fontId="14" fillId="0" borderId="37" xfId="0" applyFont="1" applyBorder="1" applyAlignment="1">
      <alignment horizontal="center" vertical="center"/>
    </xf>
    <xf numFmtId="0" fontId="0" fillId="0" borderId="37" xfId="0" applyBorder="1"/>
    <xf numFmtId="0" fontId="0" fillId="0" borderId="22" xfId="0" applyBorder="1"/>
    <xf numFmtId="0" fontId="0" fillId="0" borderId="33" xfId="0" applyFill="1" applyBorder="1"/>
    <xf numFmtId="0" fontId="0" fillId="0" borderId="22" xfId="0" applyFill="1" applyBorder="1"/>
    <xf numFmtId="0" fontId="0" fillId="0" borderId="38" xfId="0" applyFill="1" applyBorder="1"/>
    <xf numFmtId="0" fontId="1" fillId="11" borderId="39" xfId="0" applyFont="1" applyFill="1" applyBorder="1" applyAlignment="1">
      <alignment horizontal="center" vertical="center"/>
    </xf>
    <xf numFmtId="0" fontId="28" fillId="11" borderId="31" xfId="0" applyFont="1" applyFill="1" applyBorder="1" applyAlignment="1">
      <alignment horizontal="left" vertical="center"/>
    </xf>
    <xf numFmtId="0" fontId="0" fillId="0" borderId="40" xfId="0" applyFill="1" applyBorder="1"/>
    <xf numFmtId="0" fontId="0" fillId="0" borderId="21" xfId="0" applyFont="1" applyFill="1" applyBorder="1" applyAlignment="1">
      <alignment horizontal="center" vertical="center"/>
    </xf>
    <xf numFmtId="0" fontId="29" fillId="0" borderId="21" xfId="0" applyFont="1" applyFill="1" applyBorder="1" applyAlignment="1">
      <alignment horizontal="left" vertical="center"/>
    </xf>
    <xf numFmtId="0" fontId="0" fillId="0" borderId="20" xfId="0" applyFill="1" applyBorder="1"/>
    <xf numFmtId="0" fontId="29" fillId="0" borderId="20" xfId="0" applyFont="1" applyFill="1" applyBorder="1" applyAlignment="1">
      <alignment vertical="center" wrapText="1"/>
    </xf>
    <xf numFmtId="0" fontId="0" fillId="0" borderId="20" xfId="0" applyFont="1" applyFill="1" applyBorder="1" applyAlignment="1">
      <alignment horizontal="center" vertical="center"/>
    </xf>
    <xf numFmtId="0" fontId="29" fillId="0" borderId="20" xfId="0" applyFont="1" applyFill="1" applyBorder="1" applyAlignment="1">
      <alignment horizontal="left" vertical="center"/>
    </xf>
    <xf numFmtId="0" fontId="27" fillId="0" borderId="0" xfId="0" applyFont="1" applyFill="1" applyBorder="1" applyAlignment="1">
      <alignment horizontal="center" vertical="center"/>
    </xf>
    <xf numFmtId="0" fontId="30" fillId="0" borderId="0" xfId="0" applyFont="1" applyFill="1" applyBorder="1" applyAlignment="1">
      <alignment horizontal="center" vertical="center"/>
    </xf>
    <xf numFmtId="0" fontId="31" fillId="0" borderId="0" xfId="0" applyFont="1" applyFill="1" applyBorder="1" applyAlignment="1">
      <alignment horizontal="center" vertical="center"/>
    </xf>
    <xf numFmtId="0" fontId="32" fillId="0" borderId="0" xfId="0" applyFont="1" applyFill="1" applyBorder="1" applyAlignment="1">
      <alignment vertical="center"/>
    </xf>
    <xf numFmtId="0" fontId="0" fillId="0" borderId="0" xfId="0" applyFill="1"/>
    <xf numFmtId="0" fontId="18" fillId="0" borderId="0" xfId="0" applyFont="1" applyFill="1" applyBorder="1" applyAlignment="1">
      <alignment vertical="center"/>
    </xf>
    <xf numFmtId="0" fontId="20" fillId="0" borderId="2" xfId="0" applyFont="1" applyFill="1" applyBorder="1" applyAlignment="1">
      <alignment horizontal="left" vertical="center"/>
    </xf>
    <xf numFmtId="0" fontId="20" fillId="0" borderId="8" xfId="0" applyFont="1" applyFill="1" applyBorder="1" applyAlignment="1">
      <alignment horizontal="left" vertical="center"/>
    </xf>
    <xf numFmtId="0" fontId="20" fillId="0" borderId="8" xfId="0" applyFont="1" applyFill="1" applyBorder="1" applyAlignment="1">
      <alignment vertical="center"/>
    </xf>
    <xf numFmtId="0" fontId="0" fillId="0" borderId="8" xfId="0" applyBorder="1" applyAlignment="1">
      <alignment vertical="center"/>
    </xf>
    <xf numFmtId="0" fontId="0" fillId="0" borderId="22" xfId="0" applyFill="1" applyBorder="1" applyAlignment="1">
      <alignment horizontal="center"/>
    </xf>
    <xf numFmtId="0" fontId="0" fillId="0" borderId="31" xfId="0" applyFill="1" applyBorder="1" applyAlignment="1">
      <alignment horizontal="center"/>
    </xf>
    <xf numFmtId="0" fontId="0" fillId="0" borderId="0" xfId="0" applyFill="1" applyAlignment="1">
      <alignment horizontal="center"/>
    </xf>
    <xf numFmtId="0" fontId="33" fillId="0" borderId="8" xfId="0" applyFont="1" applyFill="1" applyBorder="1" applyAlignment="1">
      <alignment horizontal="center" vertical="center"/>
    </xf>
    <xf numFmtId="0" fontId="20" fillId="0" borderId="8" xfId="0" applyFont="1" applyFill="1" applyBorder="1" applyAlignment="1">
      <alignment horizontal="right" vertical="center"/>
    </xf>
    <xf numFmtId="0" fontId="4" fillId="0" borderId="0" xfId="0" applyFont="1" applyAlignment="1">
      <alignment horizontal="center" vertical="center"/>
    </xf>
    <xf numFmtId="0" fontId="4" fillId="2" borderId="4" xfId="0" applyFont="1" applyFill="1" applyBorder="1" applyAlignment="1">
      <alignment horizontal="center" vertical="center"/>
    </xf>
    <xf numFmtId="2" fontId="4" fillId="2" borderId="0" xfId="0" applyNumberFormat="1" applyFont="1" applyFill="1" applyBorder="1" applyAlignment="1">
      <alignment horizontal="center" vertical="center"/>
    </xf>
    <xf numFmtId="0" fontId="4" fillId="2" borderId="10" xfId="0" applyFont="1" applyFill="1" applyBorder="1" applyAlignment="1">
      <alignment horizontal="center" vertical="center"/>
    </xf>
    <xf numFmtId="0" fontId="4" fillId="2" borderId="19" xfId="0" applyFont="1" applyFill="1" applyBorder="1" applyAlignment="1">
      <alignment horizontal="center" vertical="center"/>
    </xf>
    <xf numFmtId="0" fontId="4" fillId="2" borderId="18" xfId="0" applyFont="1" applyFill="1" applyBorder="1" applyAlignment="1">
      <alignment horizontal="center" vertical="center"/>
    </xf>
    <xf numFmtId="0" fontId="4" fillId="3" borderId="10" xfId="0" applyFont="1" applyFill="1" applyBorder="1" applyAlignment="1">
      <alignment horizontal="center"/>
    </xf>
    <xf numFmtId="0" fontId="4" fillId="3" borderId="19" xfId="0" applyFont="1" applyFill="1" applyBorder="1" applyAlignment="1">
      <alignment horizontal="center"/>
    </xf>
    <xf numFmtId="0" fontId="4" fillId="3" borderId="18" xfId="0" applyFont="1" applyFill="1" applyBorder="1" applyAlignment="1">
      <alignment horizontal="center"/>
    </xf>
    <xf numFmtId="2" fontId="4" fillId="9" borderId="5" xfId="0" applyNumberFormat="1" applyFont="1" applyFill="1" applyBorder="1" applyAlignment="1">
      <alignment horizontal="center" vertical="center"/>
    </xf>
    <xf numFmtId="0" fontId="34" fillId="4" borderId="2" xfId="0" applyFont="1" applyFill="1" applyBorder="1" applyAlignment="1">
      <alignment horizontal="center" vertical="center"/>
    </xf>
    <xf numFmtId="0" fontId="34" fillId="4" borderId="8" xfId="0" applyFont="1" applyFill="1" applyBorder="1" applyAlignment="1">
      <alignment horizontal="center" vertical="center"/>
    </xf>
    <xf numFmtId="0" fontId="34" fillId="7" borderId="8" xfId="0" applyFont="1" applyFill="1" applyBorder="1" applyAlignment="1">
      <alignment horizontal="center" vertical="center"/>
    </xf>
    <xf numFmtId="0" fontId="34" fillId="7" borderId="3" xfId="0" applyFont="1" applyFill="1" applyBorder="1" applyAlignment="1">
      <alignment horizontal="center" vertical="center"/>
    </xf>
    <xf numFmtId="2" fontId="4" fillId="9" borderId="20" xfId="0" applyNumberFormat="1" applyFont="1" applyFill="1" applyBorder="1" applyAlignment="1">
      <alignment horizontal="center"/>
    </xf>
    <xf numFmtId="2" fontId="4" fillId="9" borderId="14" xfId="0" applyNumberFormat="1" applyFont="1" applyFill="1" applyBorder="1" applyAlignment="1">
      <alignment horizontal="center"/>
    </xf>
    <xf numFmtId="2" fontId="4" fillId="9" borderId="15" xfId="0" applyNumberFormat="1" applyFont="1" applyFill="1" applyBorder="1" applyAlignment="1">
      <alignment horizontal="center"/>
    </xf>
    <xf numFmtId="2" fontId="4" fillId="9" borderId="16" xfId="0" applyNumberFormat="1" applyFont="1" applyFill="1" applyBorder="1" applyAlignment="1">
      <alignment horizontal="center"/>
    </xf>
    <xf numFmtId="2" fontId="4" fillId="9" borderId="38" xfId="0" applyNumberFormat="1" applyFont="1" applyFill="1" applyBorder="1" applyAlignment="1">
      <alignment horizontal="center"/>
    </xf>
    <xf numFmtId="2" fontId="4" fillId="9" borderId="17" xfId="0" applyNumberFormat="1" applyFont="1" applyFill="1" applyBorder="1" applyAlignment="1">
      <alignment horizontal="center"/>
    </xf>
    <xf numFmtId="0" fontId="34" fillId="5" borderId="11" xfId="0" applyFont="1" applyFill="1" applyBorder="1" applyAlignment="1">
      <alignment horizontal="center" vertical="center"/>
    </xf>
    <xf numFmtId="164" fontId="4" fillId="3" borderId="1" xfId="0" applyNumberFormat="1" applyFont="1" applyFill="1" applyBorder="1" applyAlignment="1">
      <alignment horizontal="center" vertical="center"/>
    </xf>
    <xf numFmtId="2" fontId="4" fillId="0" borderId="18" xfId="0" applyNumberFormat="1" applyFont="1" applyBorder="1" applyAlignment="1">
      <alignment horizontal="center" vertical="center"/>
    </xf>
    <xf numFmtId="2" fontId="4" fillId="1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0" fillId="8" borderId="0" xfId="0" applyFill="1"/>
    <xf numFmtId="165" fontId="0" fillId="0" borderId="0" xfId="0" applyNumberFormat="1" applyAlignment="1">
      <alignment horizontal="center" vertical="center"/>
    </xf>
    <xf numFmtId="165" fontId="4" fillId="0" borderId="0" xfId="0" applyNumberFormat="1" applyFont="1" applyAlignment="1">
      <alignment horizontal="center" vertical="center"/>
    </xf>
    <xf numFmtId="0" fontId="4" fillId="0" borderId="0" xfId="0" quotePrefix="1" applyFont="1" applyAlignment="1">
      <alignment horizontal="center" vertical="center"/>
    </xf>
    <xf numFmtId="2" fontId="4" fillId="0" borderId="0" xfId="0" applyNumberFormat="1" applyFont="1" applyAlignment="1">
      <alignment horizontal="center" vertical="center"/>
    </xf>
    <xf numFmtId="44" fontId="4" fillId="0" borderId="0" xfId="2" applyFont="1" applyAlignment="1">
      <alignment horizontal="center" vertical="center"/>
    </xf>
    <xf numFmtId="44" fontId="0" fillId="0" borderId="0" xfId="2" applyFont="1" applyAlignment="1">
      <alignment horizontal="center" vertical="center"/>
    </xf>
    <xf numFmtId="0" fontId="4" fillId="14" borderId="0" xfId="0" applyFont="1" applyFill="1" applyAlignment="1">
      <alignment horizontal="center" vertical="center"/>
    </xf>
    <xf numFmtId="0" fontId="37" fillId="14" borderId="1" xfId="0" applyFont="1" applyFill="1" applyBorder="1" applyAlignment="1">
      <alignment horizontal="center" vertical="center"/>
    </xf>
    <xf numFmtId="0" fontId="4" fillId="3" borderId="1" xfId="0" applyFont="1" applyFill="1" applyBorder="1" applyAlignment="1">
      <alignment horizontal="center" vertical="center"/>
    </xf>
    <xf numFmtId="0" fontId="37" fillId="0" borderId="0" xfId="0" applyFont="1" applyFill="1" applyBorder="1" applyAlignment="1">
      <alignment horizontal="center" vertical="center"/>
    </xf>
    <xf numFmtId="0" fontId="4" fillId="0" borderId="0" xfId="0" applyFont="1" applyFill="1" applyBorder="1" applyAlignment="1">
      <alignment horizontal="center" vertical="center"/>
    </xf>
    <xf numFmtId="49" fontId="4" fillId="3" borderId="1" xfId="0" applyNumberFormat="1" applyFont="1" applyFill="1" applyBorder="1" applyAlignment="1">
      <alignment horizontal="center" vertical="center"/>
    </xf>
    <xf numFmtId="44" fontId="4" fillId="0" borderId="0" xfId="2" applyNumberFormat="1" applyFont="1" applyAlignment="1">
      <alignment horizontal="center" vertical="center"/>
    </xf>
    <xf numFmtId="0" fontId="4" fillId="0" borderId="0" xfId="0" applyFont="1" applyAlignment="1">
      <alignment horizont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33" xfId="0" applyBorder="1" applyAlignment="1">
      <alignment horizontal="center" vertical="center"/>
    </xf>
    <xf numFmtId="0" fontId="0" fillId="0" borderId="21"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xf>
    <xf numFmtId="0" fontId="0" fillId="0" borderId="33" xfId="0" applyBorder="1" applyAlignment="1">
      <alignment horizontal="center" vertical="center"/>
    </xf>
    <xf numFmtId="0" fontId="0" fillId="0" borderId="21" xfId="0" applyBorder="1" applyAlignment="1">
      <alignment horizontal="center" vertical="center"/>
    </xf>
    <xf numFmtId="0" fontId="1" fillId="6" borderId="20" xfId="0" applyFont="1" applyFill="1" applyBorder="1" applyAlignment="1">
      <alignment horizontal="center" vertical="center"/>
    </xf>
    <xf numFmtId="0" fontId="1" fillId="6" borderId="20" xfId="0" applyFont="1" applyFill="1" applyBorder="1"/>
    <xf numFmtId="0" fontId="1" fillId="0" borderId="20" xfId="0" applyFont="1" applyBorder="1" applyAlignment="1">
      <alignment horizontal="center" vertical="center"/>
    </xf>
    <xf numFmtId="164" fontId="34" fillId="4" borderId="8" xfId="0" applyNumberFormat="1" applyFont="1" applyFill="1" applyBorder="1" applyAlignment="1">
      <alignment horizontal="center" vertical="center"/>
    </xf>
    <xf numFmtId="2" fontId="34" fillId="4" borderId="13" xfId="0" applyNumberFormat="1" applyFont="1" applyFill="1" applyBorder="1" applyAlignment="1">
      <alignment horizontal="center" vertical="center"/>
    </xf>
    <xf numFmtId="164" fontId="34" fillId="5" borderId="11" xfId="0" applyNumberFormat="1" applyFont="1" applyFill="1" applyBorder="1" applyAlignment="1">
      <alignment horizontal="center" vertical="center"/>
    </xf>
    <xf numFmtId="0" fontId="34" fillId="4" borderId="10" xfId="0" applyFont="1" applyFill="1" applyBorder="1" applyAlignment="1">
      <alignment horizontal="center" vertical="center"/>
    </xf>
    <xf numFmtId="44" fontId="1" fillId="6" borderId="20" xfId="2" applyFont="1" applyFill="1" applyBorder="1" applyAlignment="1">
      <alignment horizontal="center" vertical="center"/>
    </xf>
    <xf numFmtId="44" fontId="0" fillId="0" borderId="22" xfId="2" applyFont="1" applyBorder="1" applyAlignment="1">
      <alignment horizontal="center" vertical="center"/>
    </xf>
    <xf numFmtId="44" fontId="0" fillId="0" borderId="33" xfId="2" applyFont="1" applyBorder="1" applyAlignment="1">
      <alignment horizontal="center" vertical="center"/>
    </xf>
    <xf numFmtId="44" fontId="0" fillId="0" borderId="42" xfId="2" applyFont="1" applyBorder="1" applyAlignment="1">
      <alignment horizontal="center" vertical="center"/>
    </xf>
    <xf numFmtId="44" fontId="1" fillId="13" borderId="20" xfId="2" applyFont="1" applyFill="1" applyBorder="1" applyAlignment="1">
      <alignment horizontal="center" vertical="center"/>
    </xf>
    <xf numFmtId="44" fontId="1" fillId="3" borderId="20" xfId="2" applyFont="1" applyFill="1" applyBorder="1" applyAlignment="1">
      <alignment horizontal="center" vertical="center"/>
    </xf>
    <xf numFmtId="165" fontId="1" fillId="0" borderId="20" xfId="2" applyNumberFormat="1" applyFont="1" applyBorder="1" applyAlignment="1">
      <alignment horizontal="center" vertical="center"/>
    </xf>
    <xf numFmtId="44" fontId="0" fillId="0" borderId="0" xfId="2" applyFont="1" applyAlignment="1">
      <alignment horizontal="center"/>
    </xf>
    <xf numFmtId="44" fontId="4" fillId="0" borderId="0" xfId="2" applyFont="1" applyAlignment="1">
      <alignment horizontal="center"/>
    </xf>
    <xf numFmtId="0" fontId="34" fillId="5" borderId="11" xfId="0" applyFont="1" applyFill="1" applyBorder="1" applyAlignment="1">
      <alignment horizontal="center"/>
    </xf>
    <xf numFmtId="0" fontId="0" fillId="0" borderId="33" xfId="0" applyBorder="1" applyAlignment="1">
      <alignment horizontal="center" vertical="center"/>
    </xf>
    <xf numFmtId="49" fontId="4" fillId="0" borderId="0" xfId="0" applyNumberFormat="1" applyFont="1" applyAlignment="1">
      <alignment horizontal="center"/>
    </xf>
    <xf numFmtId="49" fontId="0" fillId="0" borderId="0" xfId="0" applyNumberFormat="1" applyAlignment="1">
      <alignment horizontal="center"/>
    </xf>
    <xf numFmtId="0" fontId="0" fillId="6" borderId="0" xfId="0" applyFill="1" applyAlignment="1">
      <alignment horizontal="center" vertical="center"/>
    </xf>
    <xf numFmtId="0" fontId="0" fillId="18"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8" borderId="0" xfId="0" applyFill="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2" fontId="4" fillId="9" borderId="32" xfId="0" applyNumberFormat="1" applyFont="1" applyFill="1" applyBorder="1" applyAlignment="1">
      <alignment horizontal="center"/>
    </xf>
    <xf numFmtId="2" fontId="4" fillId="9" borderId="21" xfId="0" applyNumberFormat="1" applyFont="1" applyFill="1" applyBorder="1" applyAlignment="1">
      <alignment horizontal="center"/>
    </xf>
    <xf numFmtId="0" fontId="34" fillId="4" borderId="11" xfId="0" applyFont="1" applyFill="1" applyBorder="1" applyAlignment="1">
      <alignment horizontal="center" vertical="center"/>
    </xf>
    <xf numFmtId="0" fontId="34" fillId="4" borderId="12" xfId="0" applyFont="1" applyFill="1" applyBorder="1" applyAlignment="1">
      <alignment horizontal="center" vertical="center"/>
    </xf>
    <xf numFmtId="0" fontId="34" fillId="7" borderId="12" xfId="0" applyFont="1" applyFill="1" applyBorder="1" applyAlignment="1">
      <alignment horizontal="center" vertical="center"/>
    </xf>
    <xf numFmtId="0" fontId="34" fillId="7" borderId="13" xfId="0" applyFont="1" applyFill="1" applyBorder="1" applyAlignment="1">
      <alignment horizontal="center" vertical="center"/>
    </xf>
    <xf numFmtId="2" fontId="4" fillId="9" borderId="43" xfId="0" applyNumberFormat="1" applyFont="1" applyFill="1" applyBorder="1" applyAlignment="1">
      <alignment horizontal="center"/>
    </xf>
    <xf numFmtId="2" fontId="4" fillId="9" borderId="44" xfId="0" applyNumberFormat="1" applyFont="1" applyFill="1" applyBorder="1" applyAlignment="1">
      <alignment horizontal="center"/>
    </xf>
    <xf numFmtId="2" fontId="4" fillId="9" borderId="45" xfId="0" applyNumberFormat="1" applyFont="1" applyFill="1" applyBorder="1" applyAlignment="1">
      <alignment horizontal="center"/>
    </xf>
    <xf numFmtId="2" fontId="4" fillId="13" borderId="18" xfId="0" applyNumberFormat="1" applyFont="1" applyFill="1" applyBorder="1" applyAlignment="1">
      <alignment horizontal="center" vertical="center"/>
    </xf>
    <xf numFmtId="2" fontId="4" fillId="9" borderId="46" xfId="0" applyNumberFormat="1" applyFont="1" applyFill="1" applyBorder="1" applyAlignment="1">
      <alignment horizontal="center" vertical="center"/>
    </xf>
    <xf numFmtId="2" fontId="4" fillId="9" borderId="47" xfId="0" applyNumberFormat="1" applyFont="1" applyFill="1" applyBorder="1" applyAlignment="1">
      <alignment horizontal="center" vertical="center"/>
    </xf>
    <xf numFmtId="2" fontId="4" fillId="9" borderId="48" xfId="0" applyNumberFormat="1" applyFont="1" applyFill="1" applyBorder="1" applyAlignment="1">
      <alignment horizontal="center" vertical="center"/>
    </xf>
    <xf numFmtId="44" fontId="1" fillId="4" borderId="31" xfId="2" applyFont="1" applyFill="1" applyBorder="1" applyAlignment="1">
      <alignment horizontal="center" vertical="center"/>
    </xf>
    <xf numFmtId="44" fontId="1" fillId="4" borderId="50" xfId="2" applyFont="1" applyFill="1" applyBorder="1" applyAlignment="1">
      <alignment horizontal="center" vertical="center"/>
    </xf>
    <xf numFmtId="44" fontId="1" fillId="0" borderId="31" xfId="2" applyFont="1" applyBorder="1" applyAlignment="1">
      <alignment horizontal="center" vertical="center"/>
    </xf>
    <xf numFmtId="44" fontId="1" fillId="0" borderId="50" xfId="2" applyFont="1" applyBorder="1" applyAlignment="1">
      <alignment horizontal="center" vertical="center"/>
    </xf>
    <xf numFmtId="0" fontId="1" fillId="17" borderId="39" xfId="0" applyFont="1" applyFill="1" applyBorder="1" applyAlignment="1">
      <alignment horizontal="center" vertical="center"/>
    </xf>
    <xf numFmtId="0" fontId="1" fillId="21" borderId="31" xfId="0" applyFont="1" applyFill="1" applyBorder="1" applyAlignment="1">
      <alignment horizontal="center" vertical="center"/>
    </xf>
    <xf numFmtId="0" fontId="1" fillId="17" borderId="31" xfId="0" applyFont="1" applyFill="1" applyBorder="1" applyAlignment="1">
      <alignment horizontal="center" vertical="center"/>
    </xf>
    <xf numFmtId="44" fontId="1" fillId="21" borderId="31" xfId="2" applyFont="1" applyFill="1" applyBorder="1" applyAlignment="1">
      <alignment horizontal="center" vertical="center"/>
    </xf>
    <xf numFmtId="44" fontId="1" fillId="21" borderId="50" xfId="2" applyFont="1" applyFill="1" applyBorder="1" applyAlignment="1">
      <alignment horizontal="center" vertical="center"/>
    </xf>
    <xf numFmtId="0" fontId="0" fillId="8" borderId="0" xfId="0" applyFill="1" applyBorder="1" applyAlignment="1">
      <alignment horizontal="left" vertical="center"/>
    </xf>
    <xf numFmtId="0" fontId="44" fillId="8" borderId="0" xfId="0" applyFont="1" applyFill="1" applyAlignment="1">
      <alignment horizontal="center" vertical="center"/>
    </xf>
    <xf numFmtId="0" fontId="0" fillId="8" borderId="0" xfId="0" applyFill="1" applyBorder="1"/>
    <xf numFmtId="0" fontId="41" fillId="8" borderId="54" xfId="0" applyFont="1" applyFill="1" applyBorder="1" applyAlignment="1">
      <alignment horizontal="center" vertical="center"/>
    </xf>
    <xf numFmtId="0" fontId="41" fillId="8" borderId="0" xfId="0" applyFont="1" applyFill="1" applyBorder="1" applyAlignment="1">
      <alignment horizontal="center" vertical="center"/>
    </xf>
    <xf numFmtId="0" fontId="0" fillId="8" borderId="55" xfId="0" applyFill="1" applyBorder="1"/>
    <xf numFmtId="0" fontId="41" fillId="8" borderId="56" xfId="0" applyFont="1" applyFill="1" applyBorder="1" applyAlignment="1">
      <alignment horizontal="center" vertical="center"/>
    </xf>
    <xf numFmtId="0" fontId="41" fillId="8" borderId="57" xfId="0" applyFont="1" applyFill="1" applyBorder="1" applyAlignment="1">
      <alignment horizontal="left" vertical="center"/>
    </xf>
    <xf numFmtId="0" fontId="41" fillId="8" borderId="0" xfId="0" applyFont="1" applyFill="1" applyBorder="1" applyAlignment="1">
      <alignment vertical="center"/>
    </xf>
    <xf numFmtId="0" fontId="41" fillId="8" borderId="59" xfId="0" applyFont="1" applyFill="1" applyBorder="1" applyAlignment="1">
      <alignment horizontal="center" vertical="center" wrapText="1"/>
    </xf>
    <xf numFmtId="0" fontId="41" fillId="8" borderId="0" xfId="0" applyFont="1" applyFill="1" applyBorder="1" applyAlignment="1">
      <alignment horizontal="center" vertical="center" wrapText="1"/>
    </xf>
    <xf numFmtId="0" fontId="41" fillId="8" borderId="0" xfId="0" applyFont="1" applyFill="1" applyBorder="1" applyAlignment="1">
      <alignment horizontal="left" vertical="top" wrapText="1"/>
    </xf>
    <xf numFmtId="0" fontId="41" fillId="8" borderId="55" xfId="0" applyFont="1" applyFill="1" applyBorder="1" applyAlignment="1">
      <alignment vertical="center"/>
    </xf>
    <xf numFmtId="0" fontId="0" fillId="8" borderId="57" xfId="0" applyFill="1" applyBorder="1"/>
    <xf numFmtId="0" fontId="0" fillId="8" borderId="58" xfId="0" applyFill="1" applyBorder="1"/>
    <xf numFmtId="0" fontId="4" fillId="0" borderId="0" xfId="0" applyFont="1" applyFill="1" applyAlignment="1">
      <alignment horizontal="left" vertical="center"/>
    </xf>
    <xf numFmtId="0" fontId="4" fillId="0" borderId="0" xfId="0" applyFont="1" applyFill="1" applyBorder="1" applyAlignment="1">
      <alignment horizontal="left" vertical="center"/>
    </xf>
    <xf numFmtId="0" fontId="40" fillId="8" borderId="0" xfId="3" applyFont="1" applyFill="1" applyBorder="1" applyAlignment="1">
      <alignment horizontal="center" vertical="center"/>
    </xf>
    <xf numFmtId="0" fontId="40" fillId="8" borderId="61" xfId="3" applyFont="1" applyFill="1" applyBorder="1" applyAlignment="1">
      <alignment horizontal="center" vertical="center"/>
    </xf>
    <xf numFmtId="0" fontId="40" fillId="8" borderId="62" xfId="3" applyFont="1" applyFill="1" applyBorder="1" applyAlignment="1">
      <alignment horizontal="center" vertical="center"/>
    </xf>
    <xf numFmtId="0" fontId="40" fillId="8" borderId="63" xfId="3" applyFont="1" applyFill="1" applyBorder="1" applyAlignment="1">
      <alignment horizontal="center" vertical="center"/>
    </xf>
    <xf numFmtId="0" fontId="41" fillId="8" borderId="0" xfId="0" applyFont="1" applyFill="1" applyBorder="1"/>
    <xf numFmtId="0" fontId="41" fillId="8" borderId="67" xfId="0" applyFont="1" applyFill="1" applyBorder="1" applyAlignment="1">
      <alignment horizontal="center" vertical="center"/>
    </xf>
    <xf numFmtId="0" fontId="41" fillId="8" borderId="69" xfId="0" applyFont="1" applyFill="1" applyBorder="1" applyAlignment="1">
      <alignment horizontal="center" vertical="center"/>
    </xf>
    <xf numFmtId="0" fontId="41" fillId="8" borderId="71" xfId="0" applyFont="1" applyFill="1" applyBorder="1" applyAlignment="1">
      <alignment horizontal="center" vertical="center"/>
    </xf>
    <xf numFmtId="0" fontId="41" fillId="8" borderId="72" xfId="0" applyFont="1" applyFill="1" applyBorder="1" applyAlignment="1">
      <alignment horizontal="center" vertical="center"/>
    </xf>
    <xf numFmtId="0" fontId="41" fillId="8" borderId="77" xfId="0" applyFont="1" applyFill="1" applyBorder="1" applyAlignment="1">
      <alignment horizontal="center" vertical="center"/>
    </xf>
    <xf numFmtId="0" fontId="41" fillId="8" borderId="78" xfId="0" applyFont="1" applyFill="1" applyBorder="1" applyAlignment="1">
      <alignment horizontal="center" vertical="center"/>
    </xf>
    <xf numFmtId="0" fontId="41" fillId="8" borderId="79" xfId="0" applyFont="1" applyFill="1" applyBorder="1" applyAlignment="1">
      <alignment vertical="center"/>
    </xf>
    <xf numFmtId="0" fontId="41" fillId="8" borderId="73" xfId="0" applyFont="1" applyFill="1" applyBorder="1" applyAlignment="1">
      <alignment vertical="center"/>
    </xf>
    <xf numFmtId="0" fontId="34" fillId="5" borderId="6" xfId="0" applyFont="1" applyFill="1" applyBorder="1" applyAlignment="1">
      <alignment horizontal="center"/>
    </xf>
    <xf numFmtId="0" fontId="0" fillId="0" borderId="80" xfId="0" applyBorder="1"/>
    <xf numFmtId="164" fontId="4" fillId="3" borderId="18" xfId="0" applyNumberFormat="1" applyFont="1" applyFill="1" applyBorder="1" applyAlignment="1">
      <alignment horizontal="center" vertical="center"/>
    </xf>
    <xf numFmtId="49" fontId="4" fillId="3" borderId="18" xfId="0" applyNumberFormat="1" applyFont="1" applyFill="1" applyBorder="1" applyAlignment="1">
      <alignment horizontal="center" vertical="center"/>
    </xf>
    <xf numFmtId="164" fontId="0" fillId="8" borderId="82" xfId="0" applyNumberFormat="1" applyFill="1" applyBorder="1" applyAlignment="1">
      <alignment horizontal="center" vertical="center"/>
    </xf>
    <xf numFmtId="0" fontId="0" fillId="8" borderId="82" xfId="0" applyFill="1" applyBorder="1" applyAlignment="1">
      <alignment horizontal="center" vertical="center"/>
    </xf>
    <xf numFmtId="2" fontId="4" fillId="8" borderId="82" xfId="0" applyNumberFormat="1" applyFont="1" applyFill="1" applyBorder="1" applyAlignment="1">
      <alignment horizontal="center" vertical="center"/>
    </xf>
    <xf numFmtId="0" fontId="0" fillId="8" borderId="82" xfId="0" applyFill="1" applyBorder="1" applyAlignment="1">
      <alignment horizontal="center"/>
    </xf>
    <xf numFmtId="0" fontId="0" fillId="8" borderId="82" xfId="0" applyFill="1" applyBorder="1"/>
    <xf numFmtId="2" fontId="0" fillId="8" borderId="83" xfId="0" applyNumberFormat="1" applyFill="1" applyBorder="1" applyAlignment="1">
      <alignment horizontal="center" vertical="center"/>
    </xf>
    <xf numFmtId="164" fontId="37" fillId="8" borderId="82" xfId="0" applyNumberFormat="1" applyFont="1" applyFill="1" applyBorder="1" applyAlignment="1">
      <alignment horizontal="center" vertical="center"/>
    </xf>
    <xf numFmtId="0" fontId="37" fillId="8" borderId="82" xfId="0" applyFont="1" applyFill="1" applyBorder="1" applyAlignment="1">
      <alignment horizontal="center"/>
    </xf>
    <xf numFmtId="0" fontId="34" fillId="4" borderId="3" xfId="0" applyFont="1" applyFill="1" applyBorder="1" applyAlignment="1">
      <alignment horizontal="center" vertical="center"/>
    </xf>
    <xf numFmtId="0" fontId="34" fillId="5" borderId="4" xfId="0" applyFont="1" applyFill="1" applyBorder="1" applyAlignment="1">
      <alignment horizontal="center" vertical="center"/>
    </xf>
    <xf numFmtId="164" fontId="4" fillId="3" borderId="19" xfId="0" applyNumberFormat="1" applyFont="1" applyFill="1" applyBorder="1" applyAlignment="1">
      <alignment horizontal="center" vertical="center"/>
    </xf>
    <xf numFmtId="164" fontId="34" fillId="5" borderId="4" xfId="0" applyNumberFormat="1" applyFont="1" applyFill="1" applyBorder="1" applyAlignment="1">
      <alignment horizontal="center" vertical="center"/>
    </xf>
    <xf numFmtId="0" fontId="34" fillId="4" borderId="84" xfId="0" applyFont="1" applyFill="1" applyBorder="1" applyAlignment="1">
      <alignment horizontal="center" vertical="center"/>
    </xf>
    <xf numFmtId="164" fontId="34" fillId="4" borderId="82" xfId="0" applyNumberFormat="1" applyFont="1" applyFill="1" applyBorder="1" applyAlignment="1">
      <alignment horizontal="center" vertical="center"/>
    </xf>
    <xf numFmtId="164" fontId="34" fillId="4" borderId="83" xfId="0" applyNumberFormat="1" applyFont="1" applyFill="1" applyBorder="1" applyAlignment="1">
      <alignment horizontal="center" vertical="center"/>
    </xf>
    <xf numFmtId="0" fontId="40" fillId="8" borderId="81" xfId="3" applyFont="1" applyFill="1" applyBorder="1" applyAlignment="1">
      <alignment horizontal="center" vertical="center"/>
    </xf>
    <xf numFmtId="0" fontId="0" fillId="8" borderId="70" xfId="0" applyFill="1" applyBorder="1"/>
    <xf numFmtId="0" fontId="40" fillId="8" borderId="61" xfId="3" applyFont="1" applyFill="1" applyBorder="1" applyAlignment="1">
      <alignment horizontal="center"/>
    </xf>
    <xf numFmtId="0" fontId="0" fillId="8" borderId="72" xfId="0" applyFill="1" applyBorder="1"/>
    <xf numFmtId="0" fontId="41" fillId="8" borderId="54" xfId="0" applyFont="1" applyFill="1" applyBorder="1" applyAlignment="1">
      <alignment horizontal="left" vertical="top" wrapText="1"/>
    </xf>
    <xf numFmtId="0" fontId="41" fillId="8" borderId="78" xfId="0" applyFont="1" applyFill="1" applyBorder="1" applyAlignment="1">
      <alignment horizontal="left" vertical="top" wrapText="1"/>
    </xf>
    <xf numFmtId="0" fontId="41" fillId="8" borderId="0" xfId="0" applyFont="1" applyFill="1" applyBorder="1" applyAlignment="1">
      <alignment horizontal="left" vertical="top"/>
    </xf>
    <xf numFmtId="0" fontId="41" fillId="8" borderId="69" xfId="0" applyFont="1" applyFill="1" applyBorder="1"/>
    <xf numFmtId="0" fontId="41" fillId="8" borderId="71" xfId="0" applyFont="1" applyFill="1" applyBorder="1"/>
    <xf numFmtId="0" fontId="41" fillId="8" borderId="72" xfId="0" applyFont="1" applyFill="1" applyBorder="1"/>
    <xf numFmtId="0" fontId="41" fillId="8" borderId="72" xfId="0" applyFont="1" applyFill="1" applyBorder="1" applyAlignment="1">
      <alignment horizontal="left" vertical="top"/>
    </xf>
    <xf numFmtId="0" fontId="40" fillId="22" borderId="61" xfId="3" applyFont="1" applyFill="1" applyBorder="1" applyAlignment="1">
      <alignment horizontal="center" vertical="center"/>
    </xf>
    <xf numFmtId="0" fontId="41" fillId="8" borderId="70" xfId="0" applyFont="1" applyFill="1" applyBorder="1"/>
    <xf numFmtId="0" fontId="0" fillId="8" borderId="69" xfId="0" applyFont="1" applyFill="1" applyBorder="1" applyAlignment="1">
      <alignment horizontal="center" vertical="center"/>
    </xf>
    <xf numFmtId="0" fontId="1" fillId="8" borderId="71" xfId="0" applyFont="1" applyFill="1" applyBorder="1" applyAlignment="1">
      <alignment horizontal="center" vertical="center"/>
    </xf>
    <xf numFmtId="0" fontId="0" fillId="8" borderId="73" xfId="0" applyFill="1" applyBorder="1"/>
    <xf numFmtId="0" fontId="40" fillId="19" borderId="60" xfId="3" applyFont="1" applyFill="1" applyBorder="1" applyAlignment="1">
      <alignment horizontal="center" vertical="center"/>
    </xf>
    <xf numFmtId="0" fontId="40" fillId="7" borderId="60" xfId="3" applyFont="1" applyFill="1" applyBorder="1" applyAlignment="1">
      <alignment horizontal="center" vertical="center"/>
    </xf>
    <xf numFmtId="0" fontId="0" fillId="8" borderId="0" xfId="0" applyFill="1" applyBorder="1" applyAlignment="1">
      <alignment horizontal="center" vertical="center"/>
    </xf>
    <xf numFmtId="0" fontId="0" fillId="8" borderId="72" xfId="0" applyFill="1" applyBorder="1" applyAlignment="1">
      <alignment horizontal="center" vertical="center"/>
    </xf>
    <xf numFmtId="0" fontId="40" fillId="14" borderId="60" xfId="3" applyFont="1" applyFill="1" applyBorder="1" applyAlignment="1">
      <alignment horizontal="center" vertical="center"/>
    </xf>
    <xf numFmtId="0" fontId="41" fillId="8" borderId="70" xfId="0" applyFont="1" applyFill="1" applyBorder="1" applyAlignment="1">
      <alignment vertical="center"/>
    </xf>
    <xf numFmtId="0" fontId="40" fillId="8" borderId="0" xfId="0" applyFont="1" applyFill="1"/>
    <xf numFmtId="44" fontId="0" fillId="0" borderId="0" xfId="2" applyNumberFormat="1" applyFont="1" applyAlignment="1">
      <alignment horizontal="center" vertical="center"/>
    </xf>
    <xf numFmtId="44" fontId="4" fillId="14" borderId="0" xfId="2" applyNumberFormat="1" applyFont="1" applyFill="1" applyAlignment="1">
      <alignment horizontal="center" vertical="center"/>
    </xf>
    <xf numFmtId="44" fontId="4" fillId="0" borderId="0" xfId="2" applyNumberFormat="1" applyFont="1" applyAlignment="1">
      <alignment horizontal="center"/>
    </xf>
    <xf numFmtId="44" fontId="0" fillId="0" borderId="0" xfId="2" applyNumberFormat="1" applyFont="1" applyAlignment="1">
      <alignment horizontal="center"/>
    </xf>
    <xf numFmtId="44" fontId="0" fillId="0" borderId="0" xfId="2" applyNumberFormat="1" applyFont="1"/>
    <xf numFmtId="0" fontId="45" fillId="14" borderId="74" xfId="0" applyFont="1" applyFill="1" applyBorder="1" applyAlignment="1">
      <alignment horizontal="center" vertical="center"/>
    </xf>
    <xf numFmtId="0" fontId="45" fillId="14" borderId="75" xfId="0" applyFont="1" applyFill="1" applyBorder="1" applyAlignment="1">
      <alignment horizontal="center" vertical="center"/>
    </xf>
    <xf numFmtId="0" fontId="45" fillId="14" borderId="76" xfId="0" applyFont="1" applyFill="1" applyBorder="1" applyAlignment="1">
      <alignment horizontal="center" vertical="center"/>
    </xf>
    <xf numFmtId="0" fontId="43" fillId="8" borderId="51" xfId="0" applyFont="1" applyFill="1" applyBorder="1" applyAlignment="1">
      <alignment horizontal="center" vertical="center"/>
    </xf>
    <xf numFmtId="0" fontId="43" fillId="8" borderId="52" xfId="0" applyFont="1" applyFill="1" applyBorder="1" applyAlignment="1">
      <alignment horizontal="center" vertical="center"/>
    </xf>
    <xf numFmtId="0" fontId="43" fillId="8" borderId="35" xfId="0" applyFont="1" applyFill="1" applyBorder="1" applyAlignment="1">
      <alignment horizontal="center" vertical="center"/>
    </xf>
    <xf numFmtId="0" fontId="43" fillId="8" borderId="41" xfId="0" applyFont="1" applyFill="1" applyBorder="1" applyAlignment="1">
      <alignment horizontal="center" vertical="center"/>
    </xf>
    <xf numFmtId="0" fontId="43" fillId="8" borderId="0" xfId="0" applyFont="1" applyFill="1" applyBorder="1" applyAlignment="1">
      <alignment horizontal="center" vertical="center"/>
    </xf>
    <xf numFmtId="0" fontId="43" fillId="8" borderId="42" xfId="0" applyFont="1" applyFill="1" applyBorder="1" applyAlignment="1">
      <alignment horizontal="center" vertical="center"/>
    </xf>
    <xf numFmtId="0" fontId="44" fillId="8" borderId="0" xfId="0" applyFont="1" applyFill="1" applyAlignment="1">
      <alignment horizontal="center" vertical="center"/>
    </xf>
    <xf numFmtId="0" fontId="45" fillId="22" borderId="64" xfId="0" applyFont="1" applyFill="1" applyBorder="1" applyAlignment="1">
      <alignment horizontal="center" vertical="center"/>
    </xf>
    <xf numFmtId="0" fontId="45" fillId="22" borderId="65" xfId="0" applyFont="1" applyFill="1" applyBorder="1" applyAlignment="1">
      <alignment horizontal="center" vertical="center"/>
    </xf>
    <xf numFmtId="0" fontId="45" fillId="22" borderId="66" xfId="0" applyFont="1" applyFill="1" applyBorder="1" applyAlignment="1">
      <alignment horizontal="center" vertical="center"/>
    </xf>
    <xf numFmtId="0" fontId="45" fillId="7" borderId="53" xfId="0" applyFont="1" applyFill="1" applyBorder="1" applyAlignment="1">
      <alignment horizontal="center" vertical="center"/>
    </xf>
    <xf numFmtId="0" fontId="41" fillId="8" borderId="68" xfId="0" applyFont="1" applyFill="1" applyBorder="1" applyAlignment="1">
      <alignment horizontal="left" vertical="center" wrapText="1"/>
    </xf>
    <xf numFmtId="0" fontId="41" fillId="8" borderId="70" xfId="0" applyFont="1" applyFill="1" applyBorder="1" applyAlignment="1">
      <alignment horizontal="left" vertical="center" wrapText="1"/>
    </xf>
    <xf numFmtId="0" fontId="41" fillId="8" borderId="79" xfId="0" applyFont="1" applyFill="1" applyBorder="1" applyAlignment="1">
      <alignment horizontal="left" vertical="top" wrapText="1"/>
    </xf>
    <xf numFmtId="0" fontId="41" fillId="8" borderId="70" xfId="0" applyFont="1" applyFill="1" applyBorder="1" applyAlignment="1">
      <alignment horizontal="left" vertical="top" wrapText="1"/>
    </xf>
    <xf numFmtId="0" fontId="41" fillId="8" borderId="73" xfId="0" applyFont="1" applyFill="1" applyBorder="1" applyAlignment="1">
      <alignment horizontal="left" vertical="top" wrapText="1"/>
    </xf>
    <xf numFmtId="0" fontId="45" fillId="19" borderId="74" xfId="0" applyFont="1" applyFill="1" applyBorder="1" applyAlignment="1">
      <alignment horizontal="center" vertical="center"/>
    </xf>
    <xf numFmtId="0" fontId="45" fillId="19" borderId="75" xfId="0" applyFont="1" applyFill="1" applyBorder="1" applyAlignment="1">
      <alignment horizontal="center" vertical="center"/>
    </xf>
    <xf numFmtId="0" fontId="45" fillId="19" borderId="76" xfId="0" applyFont="1" applyFill="1" applyBorder="1" applyAlignment="1">
      <alignment horizontal="center" vertical="center"/>
    </xf>
    <xf numFmtId="0" fontId="46" fillId="8" borderId="79" xfId="0" applyFont="1" applyFill="1" applyBorder="1" applyAlignment="1">
      <alignment horizontal="left" vertical="top" wrapText="1"/>
    </xf>
    <xf numFmtId="0" fontId="46" fillId="8" borderId="70" xfId="0" applyFont="1" applyFill="1" applyBorder="1" applyAlignment="1">
      <alignment horizontal="left" vertical="top" wrapText="1"/>
    </xf>
    <xf numFmtId="0" fontId="41" fillId="8" borderId="78" xfId="0" applyFont="1" applyFill="1" applyBorder="1" applyAlignment="1">
      <alignment horizontal="left" vertical="top" wrapText="1"/>
    </xf>
    <xf numFmtId="0" fontId="41" fillId="8" borderId="0" xfId="0" applyFont="1" applyFill="1" applyBorder="1" applyAlignment="1">
      <alignment horizontal="left" vertical="top" wrapText="1"/>
    </xf>
    <xf numFmtId="0" fontId="41" fillId="8" borderId="72" xfId="0" applyFont="1" applyFill="1" applyBorder="1" applyAlignment="1">
      <alignment horizontal="left" vertical="top" wrapText="1"/>
    </xf>
    <xf numFmtId="0" fontId="19" fillId="0" borderId="0" xfId="0" applyFont="1" applyFill="1" applyBorder="1" applyAlignment="1">
      <alignment horizontal="center" vertical="center"/>
    </xf>
    <xf numFmtId="0" fontId="20" fillId="0" borderId="11" xfId="0" applyFont="1" applyFill="1" applyBorder="1" applyAlignment="1">
      <alignment horizontal="left" vertical="center"/>
    </xf>
    <xf numFmtId="0" fontId="20" fillId="0" borderId="12" xfId="0" applyFont="1" applyFill="1" applyBorder="1" applyAlignment="1">
      <alignment horizontal="left" vertical="center"/>
    </xf>
    <xf numFmtId="0" fontId="34" fillId="0" borderId="11" xfId="0" applyFont="1" applyBorder="1" applyAlignment="1">
      <alignment horizontal="center" vertical="center"/>
    </xf>
    <xf numFmtId="0" fontId="34" fillId="0" borderId="12" xfId="0" applyFont="1" applyBorder="1" applyAlignment="1">
      <alignment horizontal="center" vertical="center"/>
    </xf>
    <xf numFmtId="0" fontId="34" fillId="13" borderId="11" xfId="0" applyFont="1" applyFill="1" applyBorder="1" applyAlignment="1">
      <alignment horizontal="center" vertical="center"/>
    </xf>
    <xf numFmtId="0" fontId="34" fillId="13" borderId="12" xfId="0" applyFont="1" applyFill="1" applyBorder="1" applyAlignment="1">
      <alignment horizontal="center" vertical="center"/>
    </xf>
    <xf numFmtId="44" fontId="34" fillId="3" borderId="11" xfId="2" applyFont="1" applyFill="1" applyBorder="1" applyAlignment="1">
      <alignment horizontal="center" vertical="center"/>
    </xf>
    <xf numFmtId="44" fontId="34" fillId="3" borderId="12" xfId="2" applyFont="1" applyFill="1" applyBorder="1" applyAlignment="1">
      <alignment horizontal="center" vertical="center"/>
    </xf>
    <xf numFmtId="44" fontId="34" fillId="3" borderId="13" xfId="2" applyFont="1" applyFill="1" applyBorder="1" applyAlignment="1">
      <alignment horizontal="center" vertical="center"/>
    </xf>
    <xf numFmtId="0" fontId="34" fillId="13" borderId="13" xfId="0" applyFont="1" applyFill="1" applyBorder="1" applyAlignment="1">
      <alignment horizontal="center" vertical="center"/>
    </xf>
    <xf numFmtId="0" fontId="34" fillId="3" borderId="11" xfId="2" applyNumberFormat="1" applyFont="1" applyFill="1" applyBorder="1" applyAlignment="1">
      <alignment horizontal="center" vertical="center"/>
    </xf>
    <xf numFmtId="0" fontId="34" fillId="3" borderId="12" xfId="2" applyNumberFormat="1" applyFont="1" applyFill="1" applyBorder="1" applyAlignment="1">
      <alignment horizontal="center" vertical="center"/>
    </xf>
    <xf numFmtId="0" fontId="34" fillId="3" borderId="13" xfId="2" applyNumberFormat="1" applyFont="1" applyFill="1" applyBorder="1" applyAlignment="1">
      <alignment horizontal="center" vertical="center"/>
    </xf>
    <xf numFmtId="2" fontId="34" fillId="7" borderId="19" xfId="0" applyNumberFormat="1" applyFont="1" applyFill="1" applyBorder="1" applyAlignment="1">
      <alignment horizontal="center" vertical="center"/>
    </xf>
    <xf numFmtId="2" fontId="34" fillId="7" borderId="18" xfId="0" applyNumberFormat="1" applyFont="1" applyFill="1" applyBorder="1" applyAlignment="1">
      <alignment horizontal="center" vertical="center"/>
    </xf>
    <xf numFmtId="14" fontId="4" fillId="0" borderId="11" xfId="0" applyNumberFormat="1" applyFont="1" applyBorder="1" applyAlignment="1">
      <alignment horizontal="center" vertical="center"/>
    </xf>
    <xf numFmtId="14" fontId="4" fillId="0" borderId="12" xfId="0" applyNumberFormat="1" applyFont="1" applyBorder="1" applyAlignment="1">
      <alignment horizontal="center" vertical="center"/>
    </xf>
    <xf numFmtId="14" fontId="4" fillId="0" borderId="13" xfId="0" applyNumberFormat="1" applyFont="1" applyBorder="1" applyAlignment="1">
      <alignment horizontal="center" vertical="center"/>
    </xf>
    <xf numFmtId="2" fontId="4" fillId="3" borderId="6" xfId="0" applyNumberFormat="1" applyFont="1" applyFill="1" applyBorder="1" applyAlignment="1">
      <alignment horizontal="center" vertical="center"/>
    </xf>
    <xf numFmtId="2" fontId="4" fillId="3" borderId="9" xfId="0" applyNumberFormat="1" applyFont="1" applyFill="1" applyBorder="1" applyAlignment="1">
      <alignment horizontal="center" vertical="center"/>
    </xf>
    <xf numFmtId="2" fontId="4" fillId="3" borderId="7" xfId="0" applyNumberFormat="1" applyFont="1" applyFill="1" applyBorder="1" applyAlignment="1">
      <alignment horizontal="center" vertical="center"/>
    </xf>
    <xf numFmtId="0" fontId="34" fillId="5" borderId="6" xfId="0" applyFont="1" applyFill="1" applyBorder="1" applyAlignment="1">
      <alignment horizontal="center"/>
    </xf>
    <xf numFmtId="0" fontId="34" fillId="5" borderId="9" xfId="0" applyFont="1" applyFill="1" applyBorder="1" applyAlignment="1">
      <alignment horizontal="center"/>
    </xf>
    <xf numFmtId="0" fontId="34" fillId="5" borderId="7" xfId="0" applyFont="1" applyFill="1" applyBorder="1" applyAlignment="1">
      <alignment horizontal="center"/>
    </xf>
    <xf numFmtId="2" fontId="4" fillId="0" borderId="12" xfId="0" applyNumberFormat="1" applyFont="1" applyBorder="1" applyAlignment="1">
      <alignment horizontal="center" vertical="center"/>
    </xf>
    <xf numFmtId="2" fontId="4" fillId="0" borderId="13" xfId="0" applyNumberFormat="1" applyFont="1" applyBorder="1" applyAlignment="1">
      <alignment horizontal="center" vertical="center"/>
    </xf>
    <xf numFmtId="2" fontId="4" fillId="13" borderId="11" xfId="0" applyNumberFormat="1" applyFont="1" applyFill="1" applyBorder="1" applyAlignment="1">
      <alignment horizontal="center" vertical="center"/>
    </xf>
    <xf numFmtId="2" fontId="4" fillId="13" borderId="12" xfId="0" applyNumberFormat="1" applyFont="1" applyFill="1" applyBorder="1" applyAlignment="1">
      <alignment horizontal="center" vertical="center"/>
    </xf>
    <xf numFmtId="2" fontId="4" fillId="13" borderId="13" xfId="0" applyNumberFormat="1" applyFont="1" applyFill="1" applyBorder="1" applyAlignment="1">
      <alignment horizontal="center" vertical="center"/>
    </xf>
    <xf numFmtId="0" fontId="1" fillId="4" borderId="11" xfId="0" applyFont="1" applyFill="1" applyBorder="1" applyAlignment="1">
      <alignment horizontal="center" vertical="center"/>
    </xf>
    <xf numFmtId="0" fontId="1" fillId="4" borderId="40" xfId="0" applyFont="1" applyFill="1" applyBorder="1" applyAlignment="1">
      <alignment horizontal="center" vertical="center"/>
    </xf>
    <xf numFmtId="0" fontId="1" fillId="6" borderId="39" xfId="0" applyFont="1" applyFill="1" applyBorder="1" applyAlignment="1">
      <alignment horizontal="center" vertical="center"/>
    </xf>
    <xf numFmtId="0" fontId="1" fillId="6" borderId="31" xfId="0" applyFont="1" applyFill="1" applyBorder="1" applyAlignment="1">
      <alignment horizontal="center" vertical="center"/>
    </xf>
    <xf numFmtId="0" fontId="0" fillId="15" borderId="22" xfId="0" applyFill="1" applyBorder="1" applyAlignment="1">
      <alignment horizontal="center" vertical="center"/>
    </xf>
    <xf numFmtId="0" fontId="0" fillId="15" borderId="33" xfId="0" applyFill="1" applyBorder="1" applyAlignment="1">
      <alignment horizontal="center" vertical="center"/>
    </xf>
    <xf numFmtId="0" fontId="0" fillId="0" borderId="22" xfId="0" applyBorder="1" applyAlignment="1">
      <alignment horizontal="center" vertical="center"/>
    </xf>
    <xf numFmtId="0" fontId="0" fillId="0" borderId="33" xfId="0" applyBorder="1" applyAlignment="1">
      <alignment horizontal="center" vertical="center"/>
    </xf>
    <xf numFmtId="0" fontId="0" fillId="0" borderId="43" xfId="0" applyBorder="1" applyAlignment="1">
      <alignment horizontal="center" vertical="center"/>
    </xf>
    <xf numFmtId="0" fontId="0" fillId="0" borderId="21" xfId="0" applyBorder="1" applyAlignment="1">
      <alignment horizontal="center" vertical="center"/>
    </xf>
    <xf numFmtId="0" fontId="0" fillId="13" borderId="33" xfId="0" applyFill="1" applyBorder="1" applyAlignment="1">
      <alignment horizontal="center" vertical="center"/>
    </xf>
    <xf numFmtId="0" fontId="1" fillId="4" borderId="49" xfId="0" applyFont="1" applyFill="1" applyBorder="1" applyAlignment="1">
      <alignment horizontal="center"/>
    </xf>
    <xf numFmtId="0" fontId="1" fillId="4" borderId="40" xfId="0" applyFont="1" applyFill="1" applyBorder="1" applyAlignment="1">
      <alignment horizontal="center"/>
    </xf>
    <xf numFmtId="0" fontId="0" fillId="16" borderId="22" xfId="0" applyFill="1" applyBorder="1" applyAlignment="1">
      <alignment horizontal="center" vertical="center" wrapText="1"/>
    </xf>
    <xf numFmtId="0" fontId="0" fillId="16" borderId="33" xfId="0" applyFill="1" applyBorder="1" applyAlignment="1">
      <alignment horizontal="center" vertical="center"/>
    </xf>
    <xf numFmtId="0" fontId="0" fillId="0" borderId="20" xfId="0" applyBorder="1" applyAlignment="1">
      <alignment horizontal="center" vertical="center"/>
    </xf>
    <xf numFmtId="2" fontId="0" fillId="3" borderId="6" xfId="0" applyNumberFormat="1" applyFill="1" applyBorder="1" applyAlignment="1">
      <alignment horizontal="center" vertical="center"/>
    </xf>
    <xf numFmtId="2" fontId="0" fillId="3" borderId="9" xfId="0" applyNumberFormat="1" applyFill="1" applyBorder="1" applyAlignment="1">
      <alignment horizontal="center" vertical="center"/>
    </xf>
    <xf numFmtId="2" fontId="0" fillId="3" borderId="7" xfId="0" applyNumberFormat="1" applyFill="1" applyBorder="1" applyAlignment="1">
      <alignment horizontal="center" vertical="center"/>
    </xf>
    <xf numFmtId="2" fontId="34" fillId="0" borderId="11" xfId="0" applyNumberFormat="1" applyFont="1" applyBorder="1" applyAlignment="1">
      <alignment horizontal="center" vertical="center"/>
    </xf>
    <xf numFmtId="2" fontId="34" fillId="0" borderId="12" xfId="0" applyNumberFormat="1" applyFont="1" applyBorder="1" applyAlignment="1">
      <alignment horizontal="center" vertical="center"/>
    </xf>
    <xf numFmtId="2" fontId="34" fillId="0" borderId="13" xfId="0" applyNumberFormat="1" applyFont="1" applyBorder="1" applyAlignment="1">
      <alignment horizontal="center" vertical="center"/>
    </xf>
    <xf numFmtId="0" fontId="34" fillId="5" borderId="11" xfId="0" applyFont="1" applyFill="1" applyBorder="1" applyAlignment="1">
      <alignment horizontal="center"/>
    </xf>
    <xf numFmtId="0" fontId="34" fillId="5" borderId="12" xfId="0" applyFont="1" applyFill="1" applyBorder="1" applyAlignment="1">
      <alignment horizontal="center"/>
    </xf>
    <xf numFmtId="0" fontId="34" fillId="5" borderId="13" xfId="0" applyFont="1" applyFill="1" applyBorder="1" applyAlignment="1">
      <alignment horizontal="center"/>
    </xf>
    <xf numFmtId="2" fontId="34" fillId="7" borderId="10" xfId="0" applyNumberFormat="1" applyFont="1" applyFill="1" applyBorder="1" applyAlignment="1">
      <alignment horizontal="center" vertical="center"/>
    </xf>
  </cellXfs>
  <cellStyles count="4">
    <cellStyle name="Currency" xfId="2" builtinId="4"/>
    <cellStyle name="Hyperlink" xfId="3" builtinId="8"/>
    <cellStyle name="Normal" xfId="0" builtinId="0"/>
    <cellStyle name="Style 1" xfId="1" xr:uid="{DB52A5FD-F1D0-4B0F-8591-AEAC0B560056}"/>
  </cellStyles>
  <dxfs count="52">
    <dxf>
      <font>
        <strike val="0"/>
        <outline val="0"/>
        <shadow val="0"/>
        <u val="none"/>
        <vertAlign val="baseline"/>
        <sz val="11"/>
        <color theme="1"/>
        <name val="Arial"/>
        <family val="2"/>
        <scheme val="none"/>
      </font>
      <numFmt numFmtId="34" formatCode="_-&quot;$&quot;* #,##0.00_-;\-&quot;$&quot;* #,##0.00_-;_-&quot;$&quot;* &quot;-&quot;??_-;_-@_-"/>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dxf>
    <dxf>
      <font>
        <strike val="0"/>
        <outline val="0"/>
        <shadow val="0"/>
        <u val="none"/>
        <vertAlign val="baseline"/>
        <sz val="11"/>
        <color theme="1"/>
        <name val="Arial"/>
        <family val="2"/>
        <scheme val="none"/>
      </font>
      <numFmt numFmtId="30" formatCode="@"/>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strike val="0"/>
        <outline val="0"/>
        <shadow val="0"/>
        <u val="none"/>
        <vertAlign val="baseline"/>
        <sz val="11"/>
        <color theme="1"/>
        <name val="Arial"/>
        <family val="2"/>
        <scheme val="none"/>
      </font>
      <alignment horizont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9" formatCode="d/m/yyyy"/>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9" formatCode="d/m/yyyy"/>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6350</xdr:colOff>
          <xdr:row>1</xdr:row>
          <xdr:rowOff>0</xdr:rowOff>
        </xdr:from>
        <xdr:to>
          <xdr:col>11</xdr:col>
          <xdr:colOff>596900</xdr:colOff>
          <xdr:row>1</xdr:row>
          <xdr:rowOff>177800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rial"/>
                  <a:cs typeface="Arial"/>
                </a:rPr>
                <a:t>Compute Payroll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603250</xdr:colOff>
          <xdr:row>3</xdr:row>
          <xdr:rowOff>6350</xdr:rowOff>
        </xdr:from>
        <xdr:to>
          <xdr:col>3</xdr:col>
          <xdr:colOff>6350</xdr:colOff>
          <xdr:row>4</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Start</a:t>
              </a:r>
              <a:endParaRPr lang="en-SG" sz="1100" b="0" i="0" u="sng" strike="noStrike" baseline="0">
                <a:solidFill>
                  <a:srgbClr val="000000"/>
                </a:solidFill>
                <a:latin typeface="Calibri"/>
                <a:cs typeface="Calibri"/>
              </a:endParaRPr>
            </a:p>
            <a:p>
              <a:pPr algn="ctr" rtl="0">
                <a:defRPr sz="1000"/>
              </a:pPr>
              <a:r>
                <a:rPr lang="en-SG" sz="1100" b="0" i="0" u="sng"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200-00002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200-00002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200-00002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200-00002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200-00002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200-00003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200-00003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200-00003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200-00003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200-00003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200-00004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3</xdr:row>
          <xdr:rowOff>6350</xdr:rowOff>
        </xdr:from>
        <xdr:to>
          <xdr:col>4</xdr:col>
          <xdr:colOff>0</xdr:colOff>
          <xdr:row>4</xdr:row>
          <xdr:rowOff>6350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200-00004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0</xdr:rowOff>
        </xdr:from>
        <xdr:to>
          <xdr:col>11</xdr:col>
          <xdr:colOff>596900</xdr:colOff>
          <xdr:row>1</xdr:row>
          <xdr:rowOff>203200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rial"/>
                  <a:cs typeface="Arial"/>
                </a:rPr>
                <a:t>OT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603250</xdr:colOff>
          <xdr:row>2</xdr:row>
          <xdr:rowOff>6350</xdr:rowOff>
        </xdr:from>
        <xdr:to>
          <xdr:col>3</xdr:col>
          <xdr:colOff>6350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Start</a:t>
              </a:r>
              <a:endParaRPr lang="en-SG" sz="1100" b="0" i="0" u="sng" strike="noStrike" baseline="0">
                <a:solidFill>
                  <a:srgbClr val="000000"/>
                </a:solidFill>
                <a:latin typeface="Calibri"/>
                <a:cs typeface="Calibri"/>
              </a:endParaRPr>
            </a:p>
            <a:p>
              <a:pPr algn="ctr" rtl="0">
                <a:defRPr sz="1000"/>
              </a:pPr>
              <a:r>
                <a:rPr lang="en-SG" sz="1100" b="0" i="0" u="sng"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xdr:row>
          <xdr:rowOff>6350</xdr:rowOff>
        </xdr:from>
        <xdr:to>
          <xdr:col>4</xdr:col>
          <xdr:colOff>0</xdr:colOff>
          <xdr:row>3</xdr:row>
          <xdr:rowOff>6350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482600</xdr:colOff>
          <xdr:row>19</xdr:row>
          <xdr:rowOff>12700</xdr:rowOff>
        </xdr:from>
        <xdr:to>
          <xdr:col>16</xdr:col>
          <xdr:colOff>171450</xdr:colOff>
          <xdr:row>20</xdr:row>
          <xdr:rowOff>38100</xdr:rowOff>
        </xdr:to>
        <xdr:sp macro="" textlink="">
          <xdr:nvSpPr>
            <xdr:cNvPr id="14340" name="ComboBox1"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0</xdr:rowOff>
        </xdr:from>
        <xdr:to>
          <xdr:col>11</xdr:col>
          <xdr:colOff>596900</xdr:colOff>
          <xdr:row>1</xdr:row>
          <xdr:rowOff>203200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rial"/>
                  <a:cs typeface="Arial"/>
                </a:rPr>
                <a:t>OT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603250</xdr:colOff>
          <xdr:row>2</xdr:row>
          <xdr:rowOff>6350</xdr:rowOff>
        </xdr:from>
        <xdr:to>
          <xdr:col>3</xdr:col>
          <xdr:colOff>6350</xdr:colOff>
          <xdr:row>2</xdr:row>
          <xdr:rowOff>184150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Start</a:t>
              </a:r>
              <a:endParaRPr lang="en-SG" sz="1100" b="0" i="0" u="sng" strike="noStrike" baseline="0">
                <a:solidFill>
                  <a:srgbClr val="000000"/>
                </a:solidFill>
                <a:latin typeface="Calibri"/>
                <a:cs typeface="Calibri"/>
              </a:endParaRPr>
            </a:p>
            <a:p>
              <a:pPr algn="ctr" rtl="0">
                <a:defRPr sz="1000"/>
              </a:pPr>
              <a:r>
                <a:rPr lang="en-SG" sz="1100" b="0" i="0" u="sng"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xdr:row>
          <xdr:rowOff>6350</xdr:rowOff>
        </xdr:from>
        <xdr:to>
          <xdr:col>4</xdr:col>
          <xdr:colOff>0</xdr:colOff>
          <xdr:row>3</xdr:row>
          <xdr:rowOff>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482600</xdr:colOff>
          <xdr:row>19</xdr:row>
          <xdr:rowOff>12700</xdr:rowOff>
        </xdr:from>
        <xdr:to>
          <xdr:col>16</xdr:col>
          <xdr:colOff>171450</xdr:colOff>
          <xdr:row>20</xdr:row>
          <xdr:rowOff>38100</xdr:rowOff>
        </xdr:to>
        <xdr:sp macro="" textlink="">
          <xdr:nvSpPr>
            <xdr:cNvPr id="13316" name="ComboBox1"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0</xdr:rowOff>
        </xdr:from>
        <xdr:to>
          <xdr:col>11</xdr:col>
          <xdr:colOff>596900</xdr:colOff>
          <xdr:row>1</xdr:row>
          <xdr:rowOff>203200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rial"/>
                  <a:cs typeface="Arial"/>
                </a:rPr>
                <a:t>OT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603250</xdr:colOff>
          <xdr:row>2</xdr:row>
          <xdr:rowOff>6350</xdr:rowOff>
        </xdr:from>
        <xdr:to>
          <xdr:col>3</xdr:col>
          <xdr:colOff>6350</xdr:colOff>
          <xdr:row>2</xdr:row>
          <xdr:rowOff>184150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Start</a:t>
              </a:r>
              <a:endParaRPr lang="en-SG" sz="1100" b="0" i="0" u="sng" strike="noStrike" baseline="0">
                <a:solidFill>
                  <a:srgbClr val="000000"/>
                </a:solidFill>
                <a:latin typeface="Calibri"/>
                <a:cs typeface="Calibri"/>
              </a:endParaRPr>
            </a:p>
            <a:p>
              <a:pPr algn="ctr" rtl="0">
                <a:defRPr sz="1000"/>
              </a:pPr>
              <a:r>
                <a:rPr lang="en-SG" sz="1100" b="0" i="0" u="sng"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xdr:row>
          <xdr:rowOff>6350</xdr:rowOff>
        </xdr:from>
        <xdr:to>
          <xdr:col>4</xdr:col>
          <xdr:colOff>0</xdr:colOff>
          <xdr:row>3</xdr:row>
          <xdr:rowOff>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482600</xdr:colOff>
          <xdr:row>19</xdr:row>
          <xdr:rowOff>12700</xdr:rowOff>
        </xdr:from>
        <xdr:to>
          <xdr:col>16</xdr:col>
          <xdr:colOff>171450</xdr:colOff>
          <xdr:row>20</xdr:row>
          <xdr:rowOff>38100</xdr:rowOff>
        </xdr:to>
        <xdr:sp macro="" textlink="">
          <xdr:nvSpPr>
            <xdr:cNvPr id="17412" name="ComboBox1"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1</xdr:row>
          <xdr:rowOff>0</xdr:rowOff>
        </xdr:from>
        <xdr:to>
          <xdr:col>11</xdr:col>
          <xdr:colOff>596900</xdr:colOff>
          <xdr:row>1</xdr:row>
          <xdr:rowOff>203200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rial"/>
                  <a:cs typeface="Arial"/>
                </a:rPr>
                <a:t>OT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603250</xdr:colOff>
          <xdr:row>2</xdr:row>
          <xdr:rowOff>6350</xdr:rowOff>
        </xdr:from>
        <xdr:to>
          <xdr:col>3</xdr:col>
          <xdr:colOff>6350</xdr:colOff>
          <xdr:row>3</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Start</a:t>
              </a:r>
              <a:endParaRPr lang="en-SG" sz="1100" b="0" i="0" u="sng" strike="noStrike" baseline="0">
                <a:solidFill>
                  <a:srgbClr val="000000"/>
                </a:solidFill>
                <a:latin typeface="Calibri"/>
                <a:cs typeface="Calibri"/>
              </a:endParaRPr>
            </a:p>
            <a:p>
              <a:pPr algn="ctr" rtl="0">
                <a:defRPr sz="1000"/>
              </a:pPr>
              <a:r>
                <a:rPr lang="en-SG" sz="1100" b="0" i="0" u="sng"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xdr:row>
          <xdr:rowOff>6350</xdr:rowOff>
        </xdr:from>
        <xdr:to>
          <xdr:col>4</xdr:col>
          <xdr:colOff>0</xdr:colOff>
          <xdr:row>3</xdr:row>
          <xdr:rowOff>6350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1" i="0" u="sng" strike="noStrike" baseline="0">
                  <a:solidFill>
                    <a:srgbClr val="000000"/>
                  </a:solidFill>
                  <a:latin typeface="Calibri"/>
                  <a:cs typeface="Calibri"/>
                </a:rPr>
                <a:t>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482600</xdr:colOff>
          <xdr:row>19</xdr:row>
          <xdr:rowOff>12700</xdr:rowOff>
        </xdr:from>
        <xdr:to>
          <xdr:col>16</xdr:col>
          <xdr:colOff>171450</xdr:colOff>
          <xdr:row>20</xdr:row>
          <xdr:rowOff>38100</xdr:rowOff>
        </xdr:to>
        <xdr:sp macro="" textlink="">
          <xdr:nvSpPr>
            <xdr:cNvPr id="16388" name="ComboBox1"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9F0D10-0333-42BD-99FF-B6DFBBC329F0}" name="StaffInfo" displayName="StaffInfo" ref="B3:Q69" totalsRowShown="0" headerRowDxfId="51" dataDxfId="50">
  <autoFilter ref="B3:Q69" xr:uid="{D2812BCE-A125-4A8A-A1C9-109B081A5692}"/>
  <tableColumns count="16">
    <tableColumn id="1" xr3:uid="{17176F4A-B185-47FC-A995-28A7C4EC4A3C}" name="Name" dataDxfId="49" totalsRowDxfId="48"/>
    <tableColumn id="2" xr3:uid="{C894260C-3C76-4F9D-870E-102F439BEDEC}" name="Staff Code" dataDxfId="47" totalsRowDxfId="46"/>
    <tableColumn id="3" xr3:uid="{8F888531-EEA8-4974-9DB7-DE13064AF3C7}" name="Job Title" dataDxfId="45" totalsRowDxfId="44"/>
    <tableColumn id="10" xr3:uid="{05A571EA-CF3F-4DCD-AF25-C7A1CF96C3D8}" name="Nationality" dataDxfId="43" totalsRowDxfId="42"/>
    <tableColumn id="6" xr3:uid="{86BDA361-23EE-43BC-8519-893A2F7A2350}" name="Start date of PR" dataDxfId="41" totalsRowDxfId="40"/>
    <tableColumn id="16" xr3:uid="{FB074E85-A374-45E1-AE00-373F7D1447C6}" name="Date of Birth" dataDxfId="39" totalsRowDxfId="38"/>
    <tableColumn id="18" xr3:uid="{23447926-F60E-4119-96B1-2DD1A4DB5A5E}" name="Date employed" dataDxfId="37" totalsRowDxfId="36"/>
    <tableColumn id="4" xr3:uid="{F406964E-ACA3-4C76-9509-AB8AA644E6C3}" name="Gender" dataDxfId="35" totalsRowDxfId="34"/>
    <tableColumn id="5" xr3:uid="{CAFD0C39-ACCC-45DB-AB7D-43A5922D5F6C}" name="Part/Full" dataDxfId="33" totalsRowDxfId="32"/>
    <tableColumn id="15" xr3:uid="{406E3DC5-0295-48AC-ADDD-87312C0546B7}" name="Basic Pay" dataDxfId="31" totalsRowDxfId="30" dataCellStyle="Currency" totalsRowCellStyle="Currency"/>
    <tableColumn id="9" xr3:uid="{816CF0AE-E47F-409B-84B3-AC8565561281}" name="Day Rate" dataDxfId="29" totalsRowDxfId="28" dataCellStyle="Currency" totalsRowCellStyle="Currency"/>
    <tableColumn id="7" xr3:uid="{03230CF8-02C7-43EF-A604-69B62CBE3D60}" name="Hour Rate" dataDxfId="27" totalsRowDxfId="26" dataCellStyle="Currency" totalsRowCellStyle="Currency">
      <calculatedColumnFormula>IF(StaffInfo[[#This Row],[Part/Full]]="F",(StaffInfo[[#This Row],[Basic Pay]]*12)/(52*44),(StaffInfo[[#This Row],[Day Rate]]/$H$1))</calculatedColumnFormula>
    </tableColumn>
    <tableColumn id="17" xr3:uid="{F1829F7A-2684-42DB-906F-7B42D1083254}" name="Age" dataDxfId="25" totalsRowDxfId="24" dataCellStyle="Currency" totalsRowCellStyle="Currency">
      <calculatedColumnFormula>YEARFRAC(StaffInfo[[#This Row],[Date of Birth]],TODAY(),1)</calculatedColumnFormula>
    </tableColumn>
    <tableColumn id="11" xr3:uid="{EE36C9FD-A204-43AA-A436-DC1B88C278D8}" name="Years PR" dataDxfId="23" totalsRowDxfId="22" totalsRowCellStyle="Currency">
      <calculatedColumnFormula>IF(StaffInfo[[#This Row],[Start date of PR]]="", "NA", YEARFRAC(StaffInfo[[#This Row],[Start date of PR]],TODAY(),1))</calculatedColumnFormula>
    </tableColumn>
    <tableColumn id="19" xr3:uid="{6B7295A6-4281-43F8-A858-1B70467F09CD}" name="Years in co" dataDxfId="21" totalsRowDxfId="20">
      <calculatedColumnFormula>YEARFRAC(StaffInfo[[#This Row],[Date employed]],TODAY(),1)</calculatedColumnFormula>
    </tableColumn>
    <tableColumn id="8" xr3:uid="{332D5003-BA43-4C5F-BE59-4D4E2AC0DB37}" name="Leave Entitled" dataDxfId="19" totalsRowDxfId="18">
      <calculatedColumnFormula>IF(StaffInfo[[#This Row],[Part/Full]]="F",IF(StaffInfo[[#This Row],[Years in co]]&gt;10,18,IF(StaffInfo[[#This Row],[Years in co]]&gt;7,17,IF(StaffInfo[[#This Row],[Years in co]]&gt;5,16,IF(StaffInfo[[#This Row],[Years in co]]&gt;3,15,14)))),0)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3F4892-FA83-4D9B-A4CA-7D730D6ABB7D}" name="MonthlyData" displayName="MonthlyData" ref="B2:Q92" totalsRowShown="0" headerRowDxfId="17" dataDxfId="16">
  <autoFilter ref="B2:Q92" xr:uid="{8FEC9C34-D437-4F35-9A5A-3FA13D78C2B9}"/>
  <tableColumns count="16">
    <tableColumn id="1" xr3:uid="{B2A4E1DA-DFD2-4DB3-9D34-9BFFD1B964AE}" name="Name" dataDxfId="15"/>
    <tableColumn id="2" xr3:uid="{B325410F-FCF8-4CAF-BD48-861A1338ED8B}" name="Staff Code" dataDxfId="14"/>
    <tableColumn id="19" xr3:uid="{20D1CF2D-1E28-429E-BBC9-EF4017790AA2}" name="Month" dataDxfId="13"/>
    <tableColumn id="3" xr3:uid="{3B78BC3C-6CB2-4545-8B75-7EC884F85F55}" name="Basic Pay" dataDxfId="12" dataCellStyle="Currency"/>
    <tableColumn id="4" xr3:uid="{CFFB194F-0BA3-4704-91D9-BC554002544A}" name="OT Pay" dataDxfId="11" dataCellStyle="Currency"/>
    <tableColumn id="5" xr3:uid="{3CA82C28-B4BD-4985-AE48-1422EB9A4877}" name="CPF (EE)" dataDxfId="10" dataCellStyle="Currency"/>
    <tableColumn id="6" xr3:uid="{9D828F6D-BDB3-4323-969B-1401D65C2CDF}" name="CPF (ER)" dataDxfId="9" dataCellStyle="Currency"/>
    <tableColumn id="7" xr3:uid="{5C6BD7C1-4A2F-474B-8DBC-7180E63572B7}" name="Other" dataDxfId="8" dataCellStyle="Currency"/>
    <tableColumn id="20" xr3:uid="{54A4224A-0F93-482C-BB94-2AFBDEB4D5B7}" name="Leave" dataDxfId="7"/>
    <tableColumn id="21" xr3:uid="{EE6A4661-2AB4-4B70-9164-D20CE11E88BE}" name=" MC" dataDxfId="6"/>
    <tableColumn id="25" xr3:uid="{1F40E4D8-55E0-431A-BC3C-AB923E22768D}" name="Training" dataDxfId="5"/>
    <tableColumn id="22" xr3:uid="{DE5EE740-1024-4574-A348-9894126250A0}" name="Leave Left" dataDxfId="4"/>
    <tableColumn id="23" xr3:uid="{4CBEAA22-0965-4139-B77D-A2C257F7A929}" name="Total MC" dataDxfId="3"/>
    <tableColumn id="24" xr3:uid="{4C0F292E-E7BE-4C3B-B22D-3C1BFFE2C8F9}" name="Total Training" dataDxfId="2"/>
    <tableColumn id="26" xr3:uid="{65C62CC7-D7B5-4B4E-9D83-D5465C58F15C}" name="Done By" dataDxfId="1"/>
    <tableColumn id="8" xr3:uid="{B0EDBCD3-5769-40FA-B234-441375FB90D4}" name="Nett Pay" dataDxfId="0" dataCellStyle="Currency">
      <calculatedColumnFormula>MonthlyData[Basic Pay]+MonthlyData[OT Pay]-MonthlyData[CPF (EE)]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5.vml"/><Relationship Id="rId7" Type="http://schemas.openxmlformats.org/officeDocument/2006/relationships/ctrlProp" Target="../ctrlProps/ctrlProp3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3.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6.vml"/><Relationship Id="rId7" Type="http://schemas.openxmlformats.org/officeDocument/2006/relationships/ctrlProp" Target="../ctrlProps/ctrlProp3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6.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7.vml"/><Relationship Id="rId7" Type="http://schemas.openxmlformats.org/officeDocument/2006/relationships/ctrlProp" Target="../ctrlProps/ctrlProp40.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39.xml"/><Relationship Id="rId5" Type="http://schemas.openxmlformats.org/officeDocument/2006/relationships/image" Target="../media/image3.emf"/><Relationship Id="rId4" Type="http://schemas.openxmlformats.org/officeDocument/2006/relationships/control" Target="../activeX/activeX3.xml"/><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8.vml"/><Relationship Id="rId7"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7233-A093-49F7-BCFB-6D3B589E98A7}">
  <sheetPr codeName="Sheet3">
    <tabColor theme="1"/>
  </sheetPr>
  <dimension ref="A1:G38"/>
  <sheetViews>
    <sheetView topLeftCell="A2" workbookViewId="0">
      <pane xSplit="1" ySplit="4" topLeftCell="B6" activePane="bottomRight" state="frozen"/>
      <selection activeCell="A2" sqref="A2"/>
      <selection pane="topRight" activeCell="B2" sqref="B2"/>
      <selection pane="bottomLeft" activeCell="A5" sqref="A5"/>
      <selection pane="bottomRight" activeCell="C18" sqref="C18"/>
    </sheetView>
  </sheetViews>
  <sheetFormatPr defaultRowHeight="14.5" x14ac:dyDescent="0.35"/>
  <cols>
    <col min="1" max="1" width="3.54296875" style="121" customWidth="1"/>
    <col min="2" max="2" width="16" style="121" bestFit="1" customWidth="1"/>
    <col min="3" max="3" width="6.90625" style="121" customWidth="1"/>
    <col min="4" max="4" width="21.54296875" style="121" bestFit="1" customWidth="1"/>
    <col min="5" max="5" width="13.6328125" style="121" customWidth="1"/>
    <col min="6" max="6" width="50.54296875" style="121" customWidth="1"/>
    <col min="7" max="7" width="43.1796875" style="121" bestFit="1" customWidth="1"/>
    <col min="8" max="16384" width="8.7265625" style="121"/>
  </cols>
  <sheetData>
    <row r="1" spans="1:7" ht="14.5" customHeight="1" x14ac:dyDescent="0.35">
      <c r="B1" s="273" t="s">
        <v>120</v>
      </c>
      <c r="C1" s="274"/>
      <c r="D1" s="274"/>
      <c r="E1" s="274"/>
      <c r="F1" s="274"/>
      <c r="G1" s="275"/>
    </row>
    <row r="2" spans="1:7" ht="14.5" customHeight="1" x14ac:dyDescent="0.35">
      <c r="B2" s="276"/>
      <c r="C2" s="277"/>
      <c r="D2" s="277"/>
      <c r="E2" s="277"/>
      <c r="F2" s="277"/>
      <c r="G2" s="278"/>
    </row>
    <row r="3" spans="1:7" ht="14.5" customHeight="1" x14ac:dyDescent="0.35">
      <c r="B3" s="276"/>
      <c r="C3" s="277"/>
      <c r="D3" s="277"/>
      <c r="E3" s="277"/>
      <c r="F3" s="277"/>
      <c r="G3" s="278"/>
    </row>
    <row r="4" spans="1:7" x14ac:dyDescent="0.35">
      <c r="D4" s="168"/>
      <c r="F4" s="193"/>
    </row>
    <row r="5" spans="1:7" ht="19" thickBot="1" x14ac:dyDescent="0.4">
      <c r="A5" s="279" t="s">
        <v>121</v>
      </c>
      <c r="B5" s="279"/>
      <c r="C5" s="279"/>
      <c r="D5" s="194" t="s">
        <v>122</v>
      </c>
      <c r="E5" s="194" t="s">
        <v>123</v>
      </c>
      <c r="F5" s="194" t="s">
        <v>124</v>
      </c>
      <c r="G5" s="194" t="s">
        <v>114</v>
      </c>
    </row>
    <row r="6" spans="1:7" ht="16" thickBot="1" x14ac:dyDescent="0.4">
      <c r="A6" s="195"/>
      <c r="B6" s="253" t="s">
        <v>144</v>
      </c>
      <c r="D6" s="280" t="s">
        <v>144</v>
      </c>
      <c r="E6" s="281"/>
      <c r="F6" s="281"/>
      <c r="G6" s="282"/>
    </row>
    <row r="7" spans="1:7" x14ac:dyDescent="0.35">
      <c r="A7" s="195"/>
      <c r="B7" s="244" t="s">
        <v>145</v>
      </c>
      <c r="C7" s="243"/>
      <c r="D7" s="215" t="s">
        <v>161</v>
      </c>
      <c r="E7" s="196" t="s">
        <v>145</v>
      </c>
      <c r="F7" s="246" t="s">
        <v>163</v>
      </c>
      <c r="G7" s="284" t="s">
        <v>164</v>
      </c>
    </row>
    <row r="8" spans="1:7" ht="15" thickBot="1" x14ac:dyDescent="0.4">
      <c r="A8" s="195"/>
      <c r="B8" s="212" t="s">
        <v>146</v>
      </c>
      <c r="D8" s="216"/>
      <c r="E8" s="197"/>
      <c r="F8" s="204"/>
      <c r="G8" s="285"/>
    </row>
    <row r="9" spans="1:7" ht="29.5" thickBot="1" x14ac:dyDescent="0.4">
      <c r="A9" s="195"/>
      <c r="B9" s="210"/>
      <c r="D9" s="219" t="s">
        <v>162</v>
      </c>
      <c r="E9" s="220" t="s">
        <v>146</v>
      </c>
      <c r="F9" s="247" t="s">
        <v>165</v>
      </c>
      <c r="G9" s="286" t="s">
        <v>166</v>
      </c>
    </row>
    <row r="10" spans="1:7" ht="15" thickBot="1" x14ac:dyDescent="0.4">
      <c r="A10" s="195"/>
      <c r="B10" s="258" t="s">
        <v>125</v>
      </c>
      <c r="C10" s="195"/>
      <c r="D10" s="216"/>
      <c r="E10" s="197"/>
      <c r="F10" s="204"/>
      <c r="G10" s="287"/>
    </row>
    <row r="11" spans="1:7" x14ac:dyDescent="0.35">
      <c r="B11" s="211" t="s">
        <v>147</v>
      </c>
      <c r="D11" s="216"/>
      <c r="E11" s="197"/>
      <c r="F11" s="248"/>
      <c r="G11" s="287"/>
    </row>
    <row r="12" spans="1:7" ht="15" thickBot="1" x14ac:dyDescent="0.4">
      <c r="B12" s="212" t="s">
        <v>148</v>
      </c>
      <c r="D12" s="249"/>
      <c r="E12" s="214"/>
      <c r="F12" s="248"/>
      <c r="G12" s="287"/>
    </row>
    <row r="13" spans="1:7" x14ac:dyDescent="0.35">
      <c r="B13" s="210"/>
      <c r="D13" s="249"/>
      <c r="E13" s="214"/>
      <c r="F13" s="248"/>
      <c r="G13" s="287"/>
    </row>
    <row r="14" spans="1:7" ht="15" thickBot="1" x14ac:dyDescent="0.4">
      <c r="B14" s="210"/>
      <c r="D14" s="250"/>
      <c r="E14" s="251"/>
      <c r="F14" s="252"/>
      <c r="G14" s="288"/>
    </row>
    <row r="15" spans="1:7" ht="15" thickBot="1" x14ac:dyDescent="0.4">
      <c r="B15" s="259" t="s">
        <v>173</v>
      </c>
      <c r="C15" s="264"/>
    </row>
    <row r="16" spans="1:7" ht="15" thickBot="1" x14ac:dyDescent="0.4">
      <c r="B16" s="212" t="s">
        <v>149</v>
      </c>
      <c r="C16" s="264"/>
    </row>
    <row r="17" spans="2:7" ht="16" thickBot="1" x14ac:dyDescent="0.4">
      <c r="B17" s="264"/>
      <c r="C17" s="264"/>
      <c r="D17" s="289" t="s">
        <v>125</v>
      </c>
      <c r="E17" s="290"/>
      <c r="F17" s="290"/>
      <c r="G17" s="291"/>
    </row>
    <row r="18" spans="2:7" ht="15" thickBot="1" x14ac:dyDescent="0.4">
      <c r="B18" s="264"/>
      <c r="C18" s="264"/>
      <c r="D18" s="216" t="s">
        <v>168</v>
      </c>
      <c r="E18" s="197" t="s">
        <v>147</v>
      </c>
      <c r="F18" s="294" t="s">
        <v>169</v>
      </c>
      <c r="G18" s="292" t="s">
        <v>170</v>
      </c>
    </row>
    <row r="19" spans="2:7" ht="15" thickBot="1" x14ac:dyDescent="0.4">
      <c r="B19" s="262" t="s">
        <v>174</v>
      </c>
      <c r="C19" s="264"/>
      <c r="D19" s="216"/>
      <c r="E19" s="197"/>
      <c r="F19" s="295"/>
      <c r="G19" s="293"/>
    </row>
    <row r="20" spans="2:7" ht="14.5" customHeight="1" x14ac:dyDescent="0.35">
      <c r="B20" s="211" t="s">
        <v>175</v>
      </c>
      <c r="C20" s="264"/>
      <c r="D20" s="219" t="s">
        <v>171</v>
      </c>
      <c r="E20" s="220" t="s">
        <v>148</v>
      </c>
      <c r="F20" s="294" t="s">
        <v>191</v>
      </c>
      <c r="G20" s="221" t="s">
        <v>172</v>
      </c>
    </row>
    <row r="21" spans="2:7" x14ac:dyDescent="0.35">
      <c r="B21" s="213" t="s">
        <v>176</v>
      </c>
      <c r="C21" s="264"/>
      <c r="D21" s="216"/>
      <c r="E21" s="197"/>
      <c r="F21" s="295"/>
      <c r="G21" s="263"/>
    </row>
    <row r="22" spans="2:7" ht="15" thickBot="1" x14ac:dyDescent="0.4">
      <c r="B22" s="213" t="s">
        <v>177</v>
      </c>
      <c r="C22" s="264"/>
      <c r="D22" s="217"/>
      <c r="E22" s="218"/>
      <c r="F22" s="296"/>
      <c r="G22" s="222"/>
    </row>
    <row r="23" spans="2:7" ht="15" thickBot="1" x14ac:dyDescent="0.4">
      <c r="B23" s="212" t="s">
        <v>178</v>
      </c>
      <c r="C23" s="264"/>
      <c r="D23" s="197"/>
      <c r="E23" s="197"/>
      <c r="F23" s="204"/>
      <c r="G23" s="201"/>
    </row>
    <row r="25" spans="2:7" ht="15.5" x14ac:dyDescent="0.35">
      <c r="C25" s="195"/>
      <c r="D25" s="283" t="s">
        <v>173</v>
      </c>
      <c r="E25" s="283"/>
      <c r="F25" s="283"/>
      <c r="G25" s="283"/>
    </row>
    <row r="26" spans="2:7" x14ac:dyDescent="0.35">
      <c r="D26" s="202" t="s">
        <v>179</v>
      </c>
      <c r="E26" s="203" t="s">
        <v>149</v>
      </c>
      <c r="F26" s="204" t="s">
        <v>185</v>
      </c>
      <c r="G26" s="205" t="s">
        <v>186</v>
      </c>
    </row>
    <row r="27" spans="2:7" x14ac:dyDescent="0.35">
      <c r="C27" s="198"/>
      <c r="D27" s="199" t="s">
        <v>180</v>
      </c>
      <c r="E27" s="206"/>
      <c r="F27" s="200"/>
      <c r="G27" s="207"/>
    </row>
    <row r="29" spans="2:7" ht="15" thickBot="1" x14ac:dyDescent="0.4"/>
    <row r="30" spans="2:7" ht="16" thickBot="1" x14ac:dyDescent="0.4">
      <c r="D30" s="270" t="s">
        <v>174</v>
      </c>
      <c r="E30" s="271"/>
      <c r="F30" s="271"/>
      <c r="G30" s="272"/>
    </row>
    <row r="31" spans="2:7" x14ac:dyDescent="0.35">
      <c r="D31" s="216" t="s">
        <v>181</v>
      </c>
      <c r="E31" s="197" t="s">
        <v>175</v>
      </c>
      <c r="F31" s="214" t="s">
        <v>187</v>
      </c>
      <c r="G31" s="254"/>
    </row>
    <row r="32" spans="2:7" x14ac:dyDescent="0.35">
      <c r="D32" s="216"/>
      <c r="E32" s="197"/>
      <c r="F32" s="214"/>
      <c r="G32" s="254"/>
    </row>
    <row r="33" spans="4:7" x14ac:dyDescent="0.35">
      <c r="D33" s="216" t="s">
        <v>182</v>
      </c>
      <c r="E33" s="197" t="s">
        <v>176</v>
      </c>
      <c r="F33" s="214" t="s">
        <v>188</v>
      </c>
      <c r="G33" s="254"/>
    </row>
    <row r="34" spans="4:7" x14ac:dyDescent="0.35">
      <c r="D34" s="216"/>
      <c r="E34" s="197"/>
      <c r="F34" s="214"/>
      <c r="G34" s="254"/>
    </row>
    <row r="35" spans="4:7" x14ac:dyDescent="0.35">
      <c r="D35" s="216" t="s">
        <v>183</v>
      </c>
      <c r="E35" s="197" t="s">
        <v>177</v>
      </c>
      <c r="F35" s="214" t="s">
        <v>189</v>
      </c>
      <c r="G35" s="254"/>
    </row>
    <row r="36" spans="4:7" x14ac:dyDescent="0.35">
      <c r="D36" s="255"/>
      <c r="E36" s="260"/>
      <c r="F36" s="195"/>
      <c r="G36" s="243"/>
    </row>
    <row r="37" spans="4:7" x14ac:dyDescent="0.35">
      <c r="D37" s="216" t="s">
        <v>184</v>
      </c>
      <c r="E37" s="197" t="s">
        <v>178</v>
      </c>
      <c r="F37" s="214" t="s">
        <v>190</v>
      </c>
      <c r="G37" s="243"/>
    </row>
    <row r="38" spans="4:7" ht="15" thickBot="1" x14ac:dyDescent="0.4">
      <c r="D38" s="256"/>
      <c r="E38" s="261"/>
      <c r="F38" s="245"/>
      <c r="G38" s="257"/>
    </row>
  </sheetData>
  <mergeCells count="11">
    <mergeCell ref="D30:G30"/>
    <mergeCell ref="B1:G3"/>
    <mergeCell ref="A5:C5"/>
    <mergeCell ref="D6:G6"/>
    <mergeCell ref="D25:G25"/>
    <mergeCell ref="G7:G8"/>
    <mergeCell ref="G9:G14"/>
    <mergeCell ref="D17:G17"/>
    <mergeCell ref="G18:G19"/>
    <mergeCell ref="F18:F19"/>
    <mergeCell ref="F20:F22"/>
  </mergeCells>
  <hyperlinks>
    <hyperlink ref="B8" location="Timetable!C3" display="Timetable" xr:uid="{A9315E48-7824-473D-B1F0-1E87A82C3E68}"/>
    <hyperlink ref="B7" location="Attendance!C7" display="Attendance" xr:uid="{FA599CA4-682D-4AE4-9BE8-38720DCC6F5E}"/>
    <hyperlink ref="B6" location="Menu!D5:D15" display="BASIC DATA" xr:uid="{54D8818B-AB50-4D0F-ADB5-90F9B9941AAB}"/>
    <hyperlink ref="B11" location="StaffData!C3" display="StaffData" xr:uid="{CE116DA1-4418-4607-B9BE-3193241FAAA2}"/>
    <hyperlink ref="B12" location="CPF!H53" display="CPF" xr:uid="{06A98FC2-FFE5-4A20-BB29-64766BAD5793}"/>
    <hyperlink ref="B10" location="Menu!C17:C22" display="IMMEDIATE DATA" xr:uid="{B29FDFCC-1378-4D70-B5F2-0FBEE1367D68}"/>
    <hyperlink ref="B15" location="Menu!C25:C27" display="FINAL DATA" xr:uid="{3A93BF37-B872-4D01-84A9-A1355BF09CDB}"/>
    <hyperlink ref="B16" location="PaymentData!B2" display="PaymentData" xr:uid="{77A30932-D2AD-40B3-8753-6F21D4D33F21}"/>
    <hyperlink ref="B19" location="Menu!C30:C38" display="TESTING DATA" xr:uid="{AEAF1EC4-A173-4F02-AA94-2607846DA81D}"/>
    <hyperlink ref="B20" location="'Cat1'!C3" display="Cat1" xr:uid="{E0119F85-6378-4E03-A407-651A6B900CF9}"/>
    <hyperlink ref="B21" location="'Cat2'!C3" display="Cat2" xr:uid="{6184AE8F-425B-47E2-831D-9EAAD1EF51B6}"/>
    <hyperlink ref="B22" location="'Cat3'!C3" display="Cat3" xr:uid="{3B5E6584-4C60-4036-B387-612F39574938}"/>
    <hyperlink ref="B23" location="'Cat4'!C3" display="Cat4" xr:uid="{01724750-8630-467D-A7B2-6503C979A0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0DD69-08AB-4784-9E05-D2B91DD262C2}">
  <sheetPr codeName="Sheet2">
    <tabColor rgb="FF7030A0"/>
  </sheetPr>
  <dimension ref="A1:AF26"/>
  <sheetViews>
    <sheetView zoomScale="60" zoomScaleNormal="60" workbookViewId="0">
      <selection activeCell="C7" sqref="C7:AF7"/>
    </sheetView>
  </sheetViews>
  <sheetFormatPr defaultRowHeight="14.5" x14ac:dyDescent="0.35"/>
  <cols>
    <col min="2" max="2" width="23" customWidth="1"/>
    <col min="10" max="10" width="8.7265625" style="1"/>
  </cols>
  <sheetData>
    <row r="1" spans="1:32" ht="16" x14ac:dyDescent="0.35">
      <c r="A1" s="11" t="s">
        <v>150</v>
      </c>
      <c r="B1" s="12"/>
      <c r="C1" s="13"/>
      <c r="D1" s="14"/>
      <c r="E1" s="15"/>
      <c r="F1" s="15"/>
      <c r="G1" s="15"/>
      <c r="H1" s="16"/>
      <c r="I1" s="17"/>
      <c r="J1" s="18"/>
      <c r="K1" s="14"/>
      <c r="L1" s="19"/>
      <c r="M1" s="15"/>
      <c r="N1" s="17"/>
      <c r="O1" s="16"/>
      <c r="P1" s="17"/>
      <c r="Q1" s="18"/>
      <c r="R1" s="14"/>
      <c r="S1" s="20"/>
      <c r="T1" s="15"/>
      <c r="U1" s="17"/>
      <c r="V1" s="16"/>
      <c r="W1" s="21"/>
      <c r="X1" s="21"/>
      <c r="Y1" s="21"/>
      <c r="Z1" s="21"/>
      <c r="AA1" s="21"/>
      <c r="AB1" s="21"/>
      <c r="AC1" s="21"/>
      <c r="AD1" s="22"/>
      <c r="AE1" s="22"/>
      <c r="AF1" s="22"/>
    </row>
    <row r="2" spans="1:32" x14ac:dyDescent="0.35">
      <c r="A2" s="23"/>
      <c r="B2" s="24"/>
      <c r="C2" s="25"/>
      <c r="D2" s="16"/>
      <c r="E2" s="15"/>
      <c r="F2" s="26"/>
      <c r="G2" s="15"/>
      <c r="H2" s="16"/>
      <c r="I2" s="27"/>
      <c r="J2" s="18"/>
      <c r="K2" s="28"/>
      <c r="L2" s="19"/>
      <c r="M2" s="15"/>
      <c r="N2" s="19"/>
      <c r="O2" s="16"/>
      <c r="P2" s="19"/>
      <c r="Q2" s="18"/>
      <c r="R2" s="28"/>
      <c r="S2" s="20"/>
      <c r="T2" s="15"/>
      <c r="U2" s="19"/>
      <c r="V2" s="16"/>
      <c r="W2" s="29"/>
      <c r="X2" s="29"/>
      <c r="Y2" s="29"/>
      <c r="Z2" s="29"/>
      <c r="AA2" s="29"/>
      <c r="AB2" s="29"/>
      <c r="AC2" s="29"/>
      <c r="AD2" s="22"/>
      <c r="AE2" s="22"/>
      <c r="AF2" s="22"/>
    </row>
    <row r="3" spans="1:32" ht="23.5" x14ac:dyDescent="0.35">
      <c r="A3" s="297" t="s">
        <v>19</v>
      </c>
      <c r="B3" s="297"/>
      <c r="C3" s="297"/>
      <c r="D3" s="297"/>
      <c r="E3" s="297"/>
      <c r="F3" s="297"/>
      <c r="G3" s="297"/>
      <c r="H3" s="297"/>
      <c r="I3" s="297"/>
      <c r="J3" s="297"/>
      <c r="K3" s="297"/>
      <c r="L3" s="297"/>
      <c r="M3" s="297"/>
      <c r="N3" s="297"/>
      <c r="O3" s="297"/>
      <c r="P3" s="297"/>
      <c r="Q3" s="297"/>
      <c r="R3" s="297"/>
      <c r="S3" s="297"/>
      <c r="T3" s="297"/>
      <c r="U3" s="297"/>
      <c r="V3" s="297"/>
      <c r="W3" s="297"/>
      <c r="X3" s="297"/>
      <c r="Y3" s="297"/>
      <c r="Z3" s="297"/>
      <c r="AA3" s="297"/>
      <c r="AB3" s="297"/>
      <c r="AC3" s="30"/>
      <c r="AD3" s="10"/>
      <c r="AE3" s="10"/>
      <c r="AF3" s="10"/>
    </row>
    <row r="4" spans="1:32" ht="24" thickBot="1" x14ac:dyDescent="0.4">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10"/>
      <c r="AE4" s="10"/>
      <c r="AF4" s="10"/>
    </row>
    <row r="5" spans="1:32" ht="16" thickBot="1" x14ac:dyDescent="0.4">
      <c r="A5" s="298" t="s">
        <v>152</v>
      </c>
      <c r="B5" s="299"/>
      <c r="C5" s="299"/>
      <c r="D5" s="299"/>
      <c r="E5" s="299"/>
      <c r="F5" s="299"/>
      <c r="G5" s="299"/>
      <c r="H5" s="299"/>
      <c r="I5" s="299"/>
      <c r="J5" s="299"/>
      <c r="K5" s="299"/>
      <c r="L5" s="299"/>
      <c r="M5" s="299"/>
      <c r="N5" s="299"/>
      <c r="O5" s="299"/>
      <c r="P5" s="299"/>
      <c r="Q5" s="299"/>
      <c r="R5" s="299"/>
      <c r="S5" s="299"/>
      <c r="T5" s="299"/>
      <c r="U5" s="299"/>
      <c r="V5" s="299"/>
      <c r="W5" s="299"/>
      <c r="X5" s="299"/>
      <c r="Y5" s="299"/>
      <c r="Z5" s="299"/>
      <c r="AA5" s="299"/>
      <c r="AB5" s="299"/>
      <c r="AC5" s="32"/>
      <c r="AD5" s="33"/>
      <c r="AE5" s="33"/>
      <c r="AF5" s="33"/>
    </row>
    <row r="6" spans="1:32" ht="16" thickBot="1" x14ac:dyDescent="0.4">
      <c r="A6" s="87"/>
      <c r="B6" s="88"/>
      <c r="C6" s="88"/>
      <c r="D6" s="88"/>
      <c r="E6" s="88"/>
      <c r="F6" s="88"/>
      <c r="G6" s="88"/>
      <c r="H6" s="88"/>
      <c r="I6" s="88"/>
      <c r="J6" s="94"/>
      <c r="K6" s="88"/>
      <c r="L6" s="88"/>
      <c r="M6" s="88"/>
      <c r="N6" s="88"/>
      <c r="O6" s="88"/>
      <c r="P6" s="88"/>
      <c r="Q6" s="88"/>
      <c r="R6" s="88"/>
      <c r="S6" s="88"/>
      <c r="T6" s="88"/>
      <c r="U6" s="88"/>
      <c r="V6" s="88"/>
      <c r="W6" s="88"/>
      <c r="X6" s="88"/>
      <c r="Y6" s="88"/>
      <c r="Z6" s="88"/>
      <c r="AA6" s="88"/>
      <c r="AB6" s="95"/>
      <c r="AC6" s="89"/>
      <c r="AD6" s="90"/>
      <c r="AE6" s="90"/>
      <c r="AF6" s="90"/>
    </row>
    <row r="7" spans="1:32" x14ac:dyDescent="0.35">
      <c r="A7" s="34"/>
      <c r="B7" s="35"/>
      <c r="C7" s="36" t="s">
        <v>20</v>
      </c>
      <c r="D7" s="37" t="s">
        <v>21</v>
      </c>
      <c r="E7" s="37" t="s">
        <v>22</v>
      </c>
      <c r="F7" s="36" t="s">
        <v>4</v>
      </c>
      <c r="G7" s="38" t="s">
        <v>5</v>
      </c>
      <c r="H7" s="36" t="s">
        <v>24</v>
      </c>
      <c r="I7" s="36" t="s">
        <v>21</v>
      </c>
      <c r="J7" s="36" t="s">
        <v>20</v>
      </c>
      <c r="K7" s="37" t="s">
        <v>21</v>
      </c>
      <c r="L7" s="37" t="s">
        <v>22</v>
      </c>
      <c r="M7" s="36" t="s">
        <v>4</v>
      </c>
      <c r="N7" s="38" t="s">
        <v>5</v>
      </c>
      <c r="O7" s="36" t="s">
        <v>24</v>
      </c>
      <c r="P7" s="36" t="s">
        <v>21</v>
      </c>
      <c r="Q7" s="36" t="s">
        <v>20</v>
      </c>
      <c r="R7" s="37" t="s">
        <v>21</v>
      </c>
      <c r="S7" s="37" t="s">
        <v>22</v>
      </c>
      <c r="T7" s="36" t="s">
        <v>23</v>
      </c>
      <c r="U7" s="38" t="s">
        <v>23</v>
      </c>
      <c r="V7" s="36" t="s">
        <v>24</v>
      </c>
      <c r="W7" s="36" t="s">
        <v>21</v>
      </c>
      <c r="X7" s="36" t="s">
        <v>20</v>
      </c>
      <c r="Y7" s="37" t="s">
        <v>21</v>
      </c>
      <c r="Z7" s="37" t="s">
        <v>22</v>
      </c>
      <c r="AA7" s="36" t="s">
        <v>4</v>
      </c>
      <c r="AB7" s="38" t="s">
        <v>5</v>
      </c>
      <c r="AC7" s="36" t="s">
        <v>25</v>
      </c>
      <c r="AD7" s="36" t="s">
        <v>18</v>
      </c>
      <c r="AE7" s="36" t="s">
        <v>20</v>
      </c>
      <c r="AF7" s="39" t="s">
        <v>18</v>
      </c>
    </row>
    <row r="8" spans="1:32" ht="15" thickBot="1" x14ac:dyDescent="0.4">
      <c r="A8" s="40"/>
      <c r="B8" s="41"/>
      <c r="C8" s="42">
        <v>1</v>
      </c>
      <c r="D8" s="43">
        <v>2</v>
      </c>
      <c r="E8" s="42">
        <v>3</v>
      </c>
      <c r="F8" s="42">
        <v>4</v>
      </c>
      <c r="G8" s="44">
        <v>5</v>
      </c>
      <c r="H8" s="43">
        <v>6</v>
      </c>
      <c r="I8" s="42">
        <v>7</v>
      </c>
      <c r="J8" s="42">
        <v>8</v>
      </c>
      <c r="K8" s="43">
        <v>9</v>
      </c>
      <c r="L8" s="42">
        <v>10</v>
      </c>
      <c r="M8" s="42">
        <v>11</v>
      </c>
      <c r="N8" s="44">
        <v>12</v>
      </c>
      <c r="O8" s="43">
        <v>13</v>
      </c>
      <c r="P8" s="43">
        <v>14</v>
      </c>
      <c r="Q8" s="42">
        <v>15</v>
      </c>
      <c r="R8" s="42">
        <v>16</v>
      </c>
      <c r="S8" s="43">
        <v>17</v>
      </c>
      <c r="T8" s="42">
        <v>18</v>
      </c>
      <c r="U8" s="44">
        <v>19</v>
      </c>
      <c r="V8" s="43">
        <v>20</v>
      </c>
      <c r="W8" s="43">
        <v>21</v>
      </c>
      <c r="X8" s="43">
        <v>22</v>
      </c>
      <c r="Y8" s="43">
        <v>23</v>
      </c>
      <c r="Z8" s="43">
        <v>24</v>
      </c>
      <c r="AA8" s="43">
        <v>25</v>
      </c>
      <c r="AB8" s="44">
        <v>26</v>
      </c>
      <c r="AC8" s="43">
        <v>27</v>
      </c>
      <c r="AD8" s="43">
        <v>28</v>
      </c>
      <c r="AE8" s="43">
        <v>29</v>
      </c>
      <c r="AF8" s="45">
        <v>30</v>
      </c>
    </row>
    <row r="9" spans="1:32" ht="15" thickBot="1" x14ac:dyDescent="0.4">
      <c r="A9" s="46" t="s">
        <v>26</v>
      </c>
      <c r="B9" s="47" t="s">
        <v>27</v>
      </c>
      <c r="C9" s="48"/>
      <c r="D9" s="49"/>
      <c r="E9" s="50"/>
      <c r="F9" s="49"/>
      <c r="G9" s="48"/>
      <c r="H9" s="50"/>
      <c r="I9" s="50"/>
      <c r="J9" s="49"/>
      <c r="K9" s="49"/>
      <c r="L9" s="51"/>
      <c r="M9" s="49"/>
      <c r="N9" s="48"/>
      <c r="O9" s="50"/>
      <c r="P9" s="50"/>
      <c r="Q9" s="50"/>
      <c r="R9" s="49"/>
      <c r="S9" s="49"/>
      <c r="T9" s="50"/>
      <c r="U9" s="48"/>
      <c r="V9" s="49"/>
      <c r="W9" s="50"/>
      <c r="X9" s="50"/>
      <c r="Y9" s="50"/>
      <c r="Z9" s="50"/>
      <c r="AA9" s="51"/>
      <c r="AB9" s="51"/>
      <c r="AC9" s="52"/>
      <c r="AD9" s="52"/>
      <c r="AE9" s="52"/>
      <c r="AF9" s="52"/>
    </row>
    <row r="10" spans="1:32" ht="16" thickBot="1" x14ac:dyDescent="0.4">
      <c r="A10" s="53" t="s">
        <v>2</v>
      </c>
      <c r="B10" s="54"/>
      <c r="C10" s="55" t="s">
        <v>28</v>
      </c>
      <c r="D10" s="55" t="s">
        <v>28</v>
      </c>
      <c r="E10" s="56" t="s">
        <v>15</v>
      </c>
      <c r="F10" s="55" t="s">
        <v>28</v>
      </c>
      <c r="G10" s="57" t="s">
        <v>28</v>
      </c>
      <c r="H10" s="55" t="s">
        <v>28</v>
      </c>
      <c r="I10" s="55" t="s">
        <v>28</v>
      </c>
      <c r="J10" s="55" t="s">
        <v>28</v>
      </c>
      <c r="K10" s="55" t="s">
        <v>28</v>
      </c>
      <c r="L10" s="55" t="s">
        <v>28</v>
      </c>
      <c r="M10" s="55" t="s">
        <v>28</v>
      </c>
      <c r="N10" s="57" t="s">
        <v>28</v>
      </c>
      <c r="O10" s="55" t="s">
        <v>28</v>
      </c>
      <c r="P10" s="55" t="s">
        <v>28</v>
      </c>
      <c r="Q10" s="58" t="s">
        <v>28</v>
      </c>
      <c r="R10" s="48" t="s">
        <v>15</v>
      </c>
      <c r="S10" s="55" t="s">
        <v>28</v>
      </c>
      <c r="T10" s="55" t="s">
        <v>28</v>
      </c>
      <c r="U10" s="55" t="s">
        <v>28</v>
      </c>
      <c r="V10" s="55" t="s">
        <v>28</v>
      </c>
      <c r="W10" s="56" t="s">
        <v>15</v>
      </c>
      <c r="X10" s="56" t="s">
        <v>15</v>
      </c>
      <c r="Y10" s="56" t="s">
        <v>15</v>
      </c>
      <c r="Z10" s="55" t="s">
        <v>28</v>
      </c>
      <c r="AA10" s="55" t="s">
        <v>28</v>
      </c>
      <c r="AB10" s="55" t="s">
        <v>28</v>
      </c>
      <c r="AC10" s="56" t="s">
        <v>15</v>
      </c>
      <c r="AD10" s="55" t="s">
        <v>28</v>
      </c>
      <c r="AE10" s="55" t="s">
        <v>28</v>
      </c>
      <c r="AF10" s="55" t="s">
        <v>28</v>
      </c>
    </row>
    <row r="11" spans="1:32" ht="16" thickBot="1" x14ac:dyDescent="0.4">
      <c r="A11" s="59" t="s">
        <v>29</v>
      </c>
      <c r="B11" s="60"/>
      <c r="C11" s="61" t="s">
        <v>10</v>
      </c>
      <c r="D11" s="62" t="s">
        <v>10</v>
      </c>
      <c r="E11" s="63" t="s">
        <v>15</v>
      </c>
      <c r="F11" s="63" t="s">
        <v>15</v>
      </c>
      <c r="G11" s="63" t="s">
        <v>15</v>
      </c>
      <c r="H11" s="64" t="s">
        <v>10</v>
      </c>
      <c r="I11" s="65" t="s">
        <v>10</v>
      </c>
      <c r="J11" s="65" t="s">
        <v>10</v>
      </c>
      <c r="K11" s="63" t="s">
        <v>15</v>
      </c>
      <c r="L11" s="63" t="s">
        <v>15</v>
      </c>
      <c r="M11" s="63" t="s">
        <v>15</v>
      </c>
      <c r="N11" s="63" t="s">
        <v>15</v>
      </c>
      <c r="O11" s="63" t="s">
        <v>15</v>
      </c>
      <c r="P11" s="63" t="s">
        <v>15</v>
      </c>
      <c r="Q11" s="63" t="s">
        <v>15</v>
      </c>
      <c r="R11" s="62" t="s">
        <v>10</v>
      </c>
      <c r="S11" s="65" t="s">
        <v>10</v>
      </c>
      <c r="T11" s="63" t="s">
        <v>15</v>
      </c>
      <c r="U11" s="63" t="s">
        <v>15</v>
      </c>
      <c r="V11" s="64" t="s">
        <v>10</v>
      </c>
      <c r="W11" s="64" t="s">
        <v>10</v>
      </c>
      <c r="X11" s="64" t="s">
        <v>10</v>
      </c>
      <c r="Y11" s="64" t="s">
        <v>10</v>
      </c>
      <c r="Z11" s="64" t="s">
        <v>10</v>
      </c>
      <c r="AA11" s="63" t="s">
        <v>15</v>
      </c>
      <c r="AB11" s="63" t="s">
        <v>15</v>
      </c>
      <c r="AC11" s="64" t="s">
        <v>10</v>
      </c>
      <c r="AD11" s="62" t="s">
        <v>10</v>
      </c>
      <c r="AE11" s="62" t="s">
        <v>10</v>
      </c>
      <c r="AF11" s="62" t="s">
        <v>10</v>
      </c>
    </row>
    <row r="12" spans="1:32" ht="15.5" x14ac:dyDescent="0.35">
      <c r="A12" s="66"/>
      <c r="B12" s="60"/>
      <c r="C12" s="61" t="s">
        <v>10</v>
      </c>
      <c r="D12" s="62" t="s">
        <v>10</v>
      </c>
      <c r="E12" s="63" t="s">
        <v>15</v>
      </c>
      <c r="F12" s="63" t="s">
        <v>15</v>
      </c>
      <c r="G12" s="63" t="s">
        <v>15</v>
      </c>
      <c r="H12" s="64" t="s">
        <v>10</v>
      </c>
      <c r="I12" s="65" t="s">
        <v>10</v>
      </c>
      <c r="J12" s="65" t="s">
        <v>10</v>
      </c>
      <c r="K12" s="63" t="s">
        <v>15</v>
      </c>
      <c r="L12" s="63" t="s">
        <v>15</v>
      </c>
      <c r="M12" s="63" t="s">
        <v>15</v>
      </c>
      <c r="N12" s="63" t="s">
        <v>15</v>
      </c>
      <c r="O12" s="63" t="s">
        <v>15</v>
      </c>
      <c r="P12" s="63" t="s">
        <v>15</v>
      </c>
      <c r="Q12" s="63" t="s">
        <v>15</v>
      </c>
      <c r="R12" s="62" t="s">
        <v>10</v>
      </c>
      <c r="S12" s="65" t="s">
        <v>10</v>
      </c>
      <c r="T12" s="63" t="s">
        <v>15</v>
      </c>
      <c r="U12" s="63" t="s">
        <v>15</v>
      </c>
      <c r="V12" s="64" t="s">
        <v>10</v>
      </c>
      <c r="W12" s="64" t="s">
        <v>10</v>
      </c>
      <c r="X12" s="64" t="s">
        <v>10</v>
      </c>
      <c r="Y12" s="64" t="s">
        <v>10</v>
      </c>
      <c r="Z12" s="64" t="s">
        <v>10</v>
      </c>
      <c r="AA12" s="63" t="s">
        <v>15</v>
      </c>
      <c r="AB12" s="63" t="s">
        <v>15</v>
      </c>
      <c r="AC12" s="64" t="s">
        <v>10</v>
      </c>
      <c r="AD12" s="62" t="s">
        <v>10</v>
      </c>
      <c r="AE12" s="62" t="s">
        <v>10</v>
      </c>
      <c r="AF12" s="62" t="s">
        <v>10</v>
      </c>
    </row>
    <row r="13" spans="1:32" ht="15" thickBot="1" x14ac:dyDescent="0.4">
      <c r="A13" s="67"/>
      <c r="B13" s="68"/>
      <c r="C13" s="69"/>
      <c r="D13" s="70"/>
      <c r="E13" s="70"/>
      <c r="F13" s="71"/>
      <c r="G13" s="70"/>
      <c r="H13" s="70"/>
      <c r="I13" s="70"/>
      <c r="J13" s="91"/>
      <c r="K13" s="70"/>
      <c r="L13" s="70"/>
      <c r="M13" s="70"/>
      <c r="N13" s="70"/>
      <c r="O13" s="70"/>
      <c r="P13" s="70"/>
      <c r="Q13" s="70"/>
      <c r="R13" s="70"/>
      <c r="S13" s="70"/>
      <c r="T13" s="70"/>
      <c r="U13" s="70"/>
      <c r="V13" s="70"/>
      <c r="W13" s="70"/>
      <c r="X13" s="70"/>
      <c r="Y13" s="70"/>
      <c r="Z13" s="70"/>
      <c r="AA13" s="70"/>
      <c r="AB13" s="70"/>
      <c r="AC13" s="70"/>
      <c r="AD13" s="70"/>
      <c r="AE13" s="70"/>
      <c r="AF13" s="70"/>
    </row>
    <row r="14" spans="1:32" ht="16" thickBot="1" x14ac:dyDescent="0.4">
      <c r="A14" s="72" t="s">
        <v>26</v>
      </c>
      <c r="B14" s="73" t="s">
        <v>30</v>
      </c>
      <c r="C14" s="74"/>
      <c r="D14" s="52"/>
      <c r="E14" s="52"/>
      <c r="F14" s="52"/>
      <c r="G14" s="52"/>
      <c r="H14" s="52"/>
      <c r="I14" s="52"/>
      <c r="J14" s="92"/>
      <c r="K14" s="52"/>
      <c r="L14" s="52"/>
      <c r="M14" s="52"/>
      <c r="N14" s="52"/>
      <c r="O14" s="52"/>
      <c r="P14" s="52"/>
      <c r="Q14" s="52"/>
      <c r="R14" s="52"/>
      <c r="S14" s="52"/>
      <c r="T14" s="52"/>
      <c r="U14" s="52"/>
      <c r="V14" s="52"/>
      <c r="W14" s="52"/>
      <c r="X14" s="52"/>
      <c r="Y14" s="52"/>
      <c r="Z14" s="52"/>
      <c r="AA14" s="52"/>
      <c r="AB14" s="52"/>
      <c r="AC14" s="74"/>
      <c r="AD14" s="52"/>
      <c r="AE14" s="52"/>
      <c r="AF14" s="52"/>
    </row>
    <row r="15" spans="1:32" ht="15.5" x14ac:dyDescent="0.35">
      <c r="A15" s="75" t="s">
        <v>2</v>
      </c>
      <c r="B15" s="76"/>
      <c r="C15" s="62"/>
      <c r="D15" s="62"/>
      <c r="E15" s="62" t="s">
        <v>28</v>
      </c>
      <c r="F15" s="62"/>
      <c r="G15" s="62"/>
      <c r="H15" s="62"/>
      <c r="I15" s="62"/>
      <c r="J15" s="62"/>
      <c r="K15" s="62"/>
      <c r="L15" s="62"/>
      <c r="M15" s="62"/>
      <c r="N15" s="62"/>
      <c r="O15" s="62"/>
      <c r="P15" s="62"/>
      <c r="Q15" s="62"/>
      <c r="R15" s="62" t="s">
        <v>28</v>
      </c>
      <c r="S15" s="62"/>
      <c r="T15" s="62"/>
      <c r="U15" s="62"/>
      <c r="V15" s="62"/>
      <c r="W15" s="62" t="s">
        <v>28</v>
      </c>
      <c r="X15" s="62" t="s">
        <v>28</v>
      </c>
      <c r="Y15" s="62" t="s">
        <v>28</v>
      </c>
      <c r="Z15" s="62"/>
      <c r="AA15" s="62"/>
      <c r="AB15" s="62"/>
      <c r="AC15" s="62"/>
      <c r="AD15" s="62"/>
      <c r="AE15" s="62"/>
      <c r="AF15" s="77"/>
    </row>
    <row r="16" spans="1:32" ht="15.5" x14ac:dyDescent="0.35">
      <c r="A16" s="75" t="s">
        <v>2</v>
      </c>
      <c r="B16" s="76"/>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t="s">
        <v>28</v>
      </c>
      <c r="AD16" s="62"/>
      <c r="AE16" s="62"/>
      <c r="AF16" s="77"/>
    </row>
    <row r="17" spans="1:32" ht="15.5" x14ac:dyDescent="0.35">
      <c r="A17" s="75" t="s">
        <v>29</v>
      </c>
      <c r="B17" s="76"/>
      <c r="C17" s="62"/>
      <c r="D17" s="62"/>
      <c r="E17" s="62" t="s">
        <v>10</v>
      </c>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77"/>
    </row>
    <row r="18" spans="1:32" ht="15.5" x14ac:dyDescent="0.35">
      <c r="A18" s="75" t="s">
        <v>29</v>
      </c>
      <c r="B18" s="78"/>
      <c r="C18" s="62"/>
      <c r="D18" s="62"/>
      <c r="E18" s="62"/>
      <c r="F18" s="62" t="s">
        <v>10</v>
      </c>
      <c r="G18" s="62"/>
      <c r="H18" s="62"/>
      <c r="I18" s="62"/>
      <c r="J18" s="62"/>
      <c r="K18" s="62" t="s">
        <v>10</v>
      </c>
      <c r="L18" s="62" t="s">
        <v>10</v>
      </c>
      <c r="M18" s="62"/>
      <c r="N18" s="62" t="s">
        <v>10</v>
      </c>
      <c r="O18" s="62"/>
      <c r="P18" s="62" t="s">
        <v>10</v>
      </c>
      <c r="Q18" s="62"/>
      <c r="R18" s="62"/>
      <c r="S18" s="62"/>
      <c r="T18" s="62" t="s">
        <v>10</v>
      </c>
      <c r="U18" s="62"/>
      <c r="V18" s="62"/>
      <c r="W18" s="62"/>
      <c r="X18" s="62"/>
      <c r="Y18" s="62"/>
      <c r="Z18" s="62"/>
      <c r="AA18" s="62" t="s">
        <v>10</v>
      </c>
      <c r="AB18" s="62"/>
      <c r="AC18" s="62"/>
      <c r="AD18" s="62"/>
      <c r="AE18" s="62"/>
      <c r="AF18" s="77"/>
    </row>
    <row r="19" spans="1:32" ht="15.5" x14ac:dyDescent="0.35">
      <c r="A19" s="79" t="s">
        <v>29</v>
      </c>
      <c r="B19" s="80"/>
      <c r="C19" s="62"/>
      <c r="D19" s="62"/>
      <c r="E19" s="62"/>
      <c r="F19" s="62"/>
      <c r="G19" s="62" t="s">
        <v>10</v>
      </c>
      <c r="H19" s="62"/>
      <c r="I19" s="62"/>
      <c r="J19" s="62"/>
      <c r="K19" s="62"/>
      <c r="L19" s="62"/>
      <c r="M19" s="62"/>
      <c r="N19" s="62"/>
      <c r="O19" s="62" t="s">
        <v>10</v>
      </c>
      <c r="P19" s="62"/>
      <c r="Q19" s="62"/>
      <c r="R19" s="62"/>
      <c r="S19" s="62"/>
      <c r="T19" s="62"/>
      <c r="U19" s="62" t="s">
        <v>10</v>
      </c>
      <c r="V19" s="62"/>
      <c r="W19" s="62"/>
      <c r="X19" s="62"/>
      <c r="Y19" s="62"/>
      <c r="Z19" s="62"/>
      <c r="AA19" s="62"/>
      <c r="AB19" s="62"/>
      <c r="AC19" s="62"/>
      <c r="AD19" s="62"/>
      <c r="AE19" s="62"/>
      <c r="AF19" s="77"/>
    </row>
    <row r="20" spans="1:32" ht="15.5" x14ac:dyDescent="0.35">
      <c r="A20" s="9" t="s">
        <v>29</v>
      </c>
      <c r="B20" s="78"/>
      <c r="C20" s="62"/>
      <c r="D20" s="62"/>
      <c r="E20" s="62"/>
      <c r="F20" s="62"/>
      <c r="G20" s="62"/>
      <c r="H20" s="62"/>
      <c r="I20" s="62"/>
      <c r="J20" s="62"/>
      <c r="K20" s="62"/>
      <c r="L20" s="62"/>
      <c r="M20" s="62" t="s">
        <v>10</v>
      </c>
      <c r="N20" s="62"/>
      <c r="O20" s="62"/>
      <c r="P20" s="62"/>
      <c r="Q20" s="62"/>
      <c r="R20" s="62"/>
      <c r="S20" s="62"/>
      <c r="T20" s="62"/>
      <c r="U20" s="62"/>
      <c r="V20" s="62"/>
      <c r="W20" s="62"/>
      <c r="X20" s="62"/>
      <c r="Y20" s="62"/>
      <c r="Z20" s="62"/>
      <c r="AA20" s="62"/>
      <c r="AB20" s="62" t="s">
        <v>10</v>
      </c>
      <c r="AC20" s="62"/>
      <c r="AD20" s="62"/>
      <c r="AE20" s="62"/>
      <c r="AF20" s="77"/>
    </row>
    <row r="21" spans="1:32" ht="15.5" x14ac:dyDescent="0.35">
      <c r="A21" s="9" t="s">
        <v>29</v>
      </c>
      <c r="B21" s="78"/>
      <c r="C21" s="62"/>
      <c r="D21" s="62"/>
      <c r="E21" s="62"/>
      <c r="F21" s="62"/>
      <c r="G21" s="62"/>
      <c r="H21" s="62"/>
      <c r="I21" s="62"/>
      <c r="J21" s="62"/>
      <c r="K21" s="62"/>
      <c r="L21" s="62"/>
      <c r="M21" s="62"/>
      <c r="N21" s="62"/>
      <c r="O21" s="62"/>
      <c r="P21" s="62"/>
      <c r="Q21" s="62" t="s">
        <v>10</v>
      </c>
      <c r="R21" s="62"/>
      <c r="S21" s="62"/>
      <c r="T21" s="62"/>
      <c r="U21" s="62"/>
      <c r="V21" s="62"/>
      <c r="W21" s="62"/>
      <c r="X21" s="62"/>
      <c r="Y21" s="62"/>
      <c r="Z21" s="62"/>
      <c r="AA21" s="62"/>
      <c r="AB21" s="62"/>
      <c r="AC21" s="62"/>
      <c r="AD21" s="62"/>
      <c r="AE21" s="62"/>
      <c r="AF21" s="77"/>
    </row>
    <row r="22" spans="1:32" x14ac:dyDescent="0.35">
      <c r="A22" s="7"/>
      <c r="B22" s="7"/>
      <c r="C22" s="81"/>
      <c r="D22" s="81"/>
      <c r="E22" s="81"/>
      <c r="F22" s="82"/>
      <c r="G22" s="82"/>
      <c r="H22" s="81"/>
      <c r="I22" s="81"/>
      <c r="J22" s="81"/>
      <c r="K22" s="81"/>
      <c r="L22" s="81"/>
      <c r="M22" s="81"/>
      <c r="N22" s="82"/>
      <c r="O22" s="81"/>
      <c r="P22" s="81"/>
      <c r="Q22" s="81"/>
      <c r="R22" s="81"/>
      <c r="S22" s="82"/>
      <c r="T22" s="81"/>
      <c r="U22" s="82"/>
      <c r="V22" s="81"/>
      <c r="W22" s="81"/>
      <c r="X22" s="81"/>
      <c r="Y22" s="81"/>
      <c r="Z22" s="81"/>
      <c r="AA22" s="83"/>
      <c r="AB22" s="82"/>
    </row>
    <row r="23" spans="1:32" x14ac:dyDescent="0.35">
      <c r="A23" s="7"/>
      <c r="B23" s="7"/>
      <c r="C23" s="81"/>
      <c r="D23" s="81"/>
      <c r="E23" s="81"/>
      <c r="F23" s="82"/>
      <c r="G23" s="82"/>
      <c r="H23" s="81"/>
      <c r="I23" s="81"/>
      <c r="J23" s="81"/>
      <c r="K23" s="81"/>
      <c r="L23" s="81"/>
      <c r="M23" s="81"/>
      <c r="N23" s="82"/>
      <c r="O23" s="81"/>
      <c r="P23" s="81"/>
      <c r="Q23" s="81"/>
      <c r="R23" s="81"/>
      <c r="S23" s="82"/>
      <c r="T23" s="81"/>
      <c r="U23" s="82"/>
      <c r="V23" s="81"/>
      <c r="W23" s="81"/>
      <c r="X23" s="81"/>
      <c r="Y23" s="81"/>
      <c r="Z23" s="81"/>
      <c r="AA23" s="83"/>
      <c r="AB23" s="82"/>
    </row>
    <row r="24" spans="1:32" x14ac:dyDescent="0.35">
      <c r="A24" s="84" t="s">
        <v>31</v>
      </c>
      <c r="C24" s="85"/>
      <c r="D24" s="85"/>
      <c r="E24" s="85"/>
      <c r="F24" s="85"/>
      <c r="G24" s="85"/>
      <c r="H24" s="85"/>
      <c r="I24" s="85"/>
      <c r="J24" s="93"/>
      <c r="K24" s="85"/>
      <c r="L24" s="85"/>
      <c r="M24" s="85"/>
      <c r="N24" s="85"/>
      <c r="O24" s="85"/>
      <c r="P24" s="85"/>
      <c r="Q24" s="85"/>
      <c r="R24" s="85"/>
      <c r="S24" s="85"/>
      <c r="T24" s="85"/>
      <c r="U24" s="85"/>
      <c r="V24" s="85"/>
      <c r="W24" s="85"/>
      <c r="X24" s="85"/>
    </row>
    <row r="25" spans="1:32" x14ac:dyDescent="0.35">
      <c r="A25" s="86" t="s">
        <v>32</v>
      </c>
      <c r="C25" s="8" t="s">
        <v>33</v>
      </c>
    </row>
    <row r="26" spans="1:32" x14ac:dyDescent="0.35">
      <c r="A26" s="86" t="s">
        <v>34</v>
      </c>
    </row>
  </sheetData>
  <mergeCells count="2">
    <mergeCell ref="A3:AB3"/>
    <mergeCell ref="A5:AB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41D5-D74F-45EB-AFCE-995BB4242717}">
  <sheetPr codeName="Sheet1">
    <tabColor rgb="FF7030A0"/>
  </sheetPr>
  <dimension ref="A1:AB43"/>
  <sheetViews>
    <sheetView zoomScaleNormal="100" workbookViewId="0">
      <selection activeCell="B2" sqref="B2"/>
    </sheetView>
  </sheetViews>
  <sheetFormatPr defaultRowHeight="14.5" x14ac:dyDescent="0.35"/>
  <cols>
    <col min="1" max="1" width="2.54296875" customWidth="1"/>
    <col min="2" max="2" width="7.7265625" style="2" customWidth="1"/>
    <col min="3" max="4" width="12.08984375" style="4" bestFit="1" customWidth="1"/>
    <col min="5" max="5" width="20.6328125" style="2" customWidth="1"/>
    <col min="6" max="6" width="13.26953125" style="1" bestFit="1" customWidth="1"/>
    <col min="7" max="7" width="6.81640625" style="125" bestFit="1" customWidth="1"/>
    <col min="8" max="9" width="8.7265625" style="1"/>
    <col min="13" max="13" width="17.1796875" style="3" customWidth="1"/>
    <col min="14" max="14" width="12.54296875" customWidth="1"/>
  </cols>
  <sheetData>
    <row r="1" spans="1:28" ht="15" thickBot="1" x14ac:dyDescent="0.4">
      <c r="A1" s="224"/>
    </row>
    <row r="2" spans="1:28" ht="15" thickBot="1" x14ac:dyDescent="0.4">
      <c r="B2" s="242" t="s">
        <v>167</v>
      </c>
      <c r="C2" s="227"/>
      <c r="D2" s="233" t="s">
        <v>147</v>
      </c>
      <c r="E2" s="228"/>
      <c r="F2" s="234" t="s">
        <v>149</v>
      </c>
      <c r="G2" s="229"/>
      <c r="H2" s="230"/>
      <c r="I2" s="230"/>
      <c r="J2" s="231"/>
      <c r="K2" s="231"/>
      <c r="L2" s="231"/>
      <c r="M2" s="232"/>
    </row>
    <row r="3" spans="1:28" ht="17" customHeight="1" thickBot="1" x14ac:dyDescent="0.4">
      <c r="B3" s="236" t="s">
        <v>13</v>
      </c>
      <c r="C3" s="237" t="s">
        <v>106</v>
      </c>
      <c r="D3" s="238" t="s">
        <v>35</v>
      </c>
      <c r="E3" s="225" t="s">
        <v>44</v>
      </c>
      <c r="F3" s="223" t="s">
        <v>14</v>
      </c>
      <c r="G3" s="226" t="s">
        <v>62</v>
      </c>
      <c r="H3" s="319" t="s">
        <v>12</v>
      </c>
      <c r="I3" s="320"/>
      <c r="J3" s="320"/>
      <c r="K3" s="320"/>
      <c r="L3" s="321"/>
      <c r="M3" s="311" t="s">
        <v>114</v>
      </c>
      <c r="AB3" s="208" t="s">
        <v>107</v>
      </c>
    </row>
    <row r="4" spans="1:28" ht="15" customHeight="1" thickBot="1" x14ac:dyDescent="0.4">
      <c r="B4" s="239" t="s">
        <v>6</v>
      </c>
      <c r="C4" s="240" t="s">
        <v>0</v>
      </c>
      <c r="D4" s="241" t="s">
        <v>1</v>
      </c>
      <c r="E4" s="235" t="s">
        <v>2</v>
      </c>
      <c r="F4" s="150" t="s">
        <v>3</v>
      </c>
      <c r="G4" s="148" t="s">
        <v>104</v>
      </c>
      <c r="H4" s="173" t="s">
        <v>118</v>
      </c>
      <c r="I4" s="174" t="s">
        <v>7</v>
      </c>
      <c r="J4" s="175" t="s">
        <v>8</v>
      </c>
      <c r="K4" s="175" t="s">
        <v>16</v>
      </c>
      <c r="L4" s="176" t="s">
        <v>17</v>
      </c>
      <c r="M4" s="312"/>
      <c r="AB4" s="209" t="s">
        <v>126</v>
      </c>
    </row>
    <row r="5" spans="1:28" x14ac:dyDescent="0.35">
      <c r="B5" s="97">
        <v>1</v>
      </c>
      <c r="C5" s="5">
        <v>0.375</v>
      </c>
      <c r="D5" s="6">
        <v>0.70833333333333337</v>
      </c>
      <c r="E5" s="99" t="s">
        <v>20</v>
      </c>
      <c r="F5" s="102"/>
      <c r="G5" s="98">
        <f t="shared" ref="G5:G35" si="0">IF(OR(AND(C5="OL",D5="OL"),AND(C5="LL",D5="LL"),AND(C5="MC",D5="MC"),AND(C5="O",D5="O"),AND(C5="CSE",D5="CSE")), 0, HOUR($D5)+MINUTE($D5)/60-HOUR($C5)-MINUTE($C5)/60)</f>
        <v>8</v>
      </c>
      <c r="H5" s="171"/>
      <c r="I5" s="172"/>
      <c r="J5" s="172"/>
      <c r="K5" s="172"/>
      <c r="L5" s="177"/>
      <c r="M5" s="181" t="s">
        <v>119</v>
      </c>
      <c r="AB5" s="208" t="s">
        <v>133</v>
      </c>
    </row>
    <row r="6" spans="1:28" x14ac:dyDescent="0.35">
      <c r="B6" s="97">
        <v>2</v>
      </c>
      <c r="C6" s="5">
        <v>0.375</v>
      </c>
      <c r="D6" s="6">
        <v>0.70833333333333337</v>
      </c>
      <c r="E6" s="100" t="s">
        <v>21</v>
      </c>
      <c r="F6" s="103"/>
      <c r="G6" s="98">
        <f t="shared" si="0"/>
        <v>8</v>
      </c>
      <c r="H6" s="111"/>
      <c r="I6" s="110"/>
      <c r="J6" s="110"/>
      <c r="K6" s="110"/>
      <c r="L6" s="178"/>
      <c r="M6" s="182" t="s">
        <v>119</v>
      </c>
      <c r="AB6" s="208" t="s">
        <v>134</v>
      </c>
    </row>
    <row r="7" spans="1:28" x14ac:dyDescent="0.35">
      <c r="B7" s="97">
        <v>3</v>
      </c>
      <c r="C7" s="5">
        <v>0.375</v>
      </c>
      <c r="D7" s="6">
        <v>0.70833333333333337</v>
      </c>
      <c r="E7" s="100" t="s">
        <v>22</v>
      </c>
      <c r="F7" s="103"/>
      <c r="G7" s="98">
        <f t="shared" si="0"/>
        <v>8</v>
      </c>
      <c r="H7" s="111"/>
      <c r="I7" s="110"/>
      <c r="J7" s="110"/>
      <c r="K7" s="110"/>
      <c r="L7" s="178"/>
      <c r="M7" s="182" t="s">
        <v>119</v>
      </c>
      <c r="AB7" s="208" t="s">
        <v>135</v>
      </c>
    </row>
    <row r="8" spans="1:28" x14ac:dyDescent="0.35">
      <c r="B8" s="97">
        <v>4</v>
      </c>
      <c r="C8" s="5">
        <v>0.375</v>
      </c>
      <c r="D8" s="6">
        <v>0.70833333333333304</v>
      </c>
      <c r="E8" s="100" t="s">
        <v>4</v>
      </c>
      <c r="F8" s="103"/>
      <c r="G8" s="98">
        <f t="shared" si="0"/>
        <v>8</v>
      </c>
      <c r="H8" s="111"/>
      <c r="I8" s="110">
        <v>8</v>
      </c>
      <c r="J8" s="110"/>
      <c r="K8" s="110"/>
      <c r="L8" s="178"/>
      <c r="M8" s="182" t="s">
        <v>119</v>
      </c>
      <c r="AB8" s="208" t="s">
        <v>136</v>
      </c>
    </row>
    <row r="9" spans="1:28" x14ac:dyDescent="0.35">
      <c r="B9" s="97">
        <v>5</v>
      </c>
      <c r="C9" s="5">
        <v>0.375</v>
      </c>
      <c r="D9" s="6">
        <v>0.70833333333333304</v>
      </c>
      <c r="E9" s="100" t="s">
        <v>5</v>
      </c>
      <c r="F9" s="103"/>
      <c r="G9" s="98">
        <f t="shared" si="0"/>
        <v>8</v>
      </c>
      <c r="H9" s="111"/>
      <c r="I9" s="110"/>
      <c r="J9" s="110">
        <v>8</v>
      </c>
      <c r="K9" s="110"/>
      <c r="L9" s="178"/>
      <c r="M9" s="182" t="s">
        <v>119</v>
      </c>
      <c r="AB9" s="208" t="s">
        <v>137</v>
      </c>
    </row>
    <row r="10" spans="1:28" x14ac:dyDescent="0.35">
      <c r="B10" s="97">
        <v>6</v>
      </c>
      <c r="C10" s="5">
        <v>0.375</v>
      </c>
      <c r="D10" s="6">
        <v>0.70833333333333304</v>
      </c>
      <c r="E10" s="100" t="s">
        <v>24</v>
      </c>
      <c r="F10" s="103" t="s">
        <v>11</v>
      </c>
      <c r="G10" s="98">
        <f t="shared" si="0"/>
        <v>8</v>
      </c>
      <c r="H10" s="111">
        <v>8</v>
      </c>
      <c r="I10" s="110"/>
      <c r="J10" s="110"/>
      <c r="K10" s="110"/>
      <c r="L10" s="178"/>
      <c r="M10" s="182" t="s">
        <v>119</v>
      </c>
      <c r="AB10" s="208" t="s">
        <v>138</v>
      </c>
    </row>
    <row r="11" spans="1:28" x14ac:dyDescent="0.35">
      <c r="B11" s="97">
        <v>7</v>
      </c>
      <c r="C11" s="5"/>
      <c r="D11" s="6"/>
      <c r="E11" s="100" t="s">
        <v>21</v>
      </c>
      <c r="F11" s="103" t="s">
        <v>11</v>
      </c>
      <c r="G11" s="98">
        <f t="shared" si="0"/>
        <v>0</v>
      </c>
      <c r="H11" s="111"/>
      <c r="I11" s="110"/>
      <c r="J11" s="110"/>
      <c r="K11" s="110"/>
      <c r="L11" s="178"/>
      <c r="M11" s="182" t="s">
        <v>119</v>
      </c>
      <c r="AB11" s="208" t="s">
        <v>139</v>
      </c>
    </row>
    <row r="12" spans="1:28" x14ac:dyDescent="0.35">
      <c r="B12" s="97">
        <v>8</v>
      </c>
      <c r="C12" s="5"/>
      <c r="D12" s="6"/>
      <c r="E12" s="100" t="s">
        <v>20</v>
      </c>
      <c r="F12" s="103"/>
      <c r="G12" s="98">
        <f t="shared" si="0"/>
        <v>0</v>
      </c>
      <c r="H12" s="111"/>
      <c r="I12" s="110"/>
      <c r="J12" s="110"/>
      <c r="K12" s="110"/>
      <c r="L12" s="178"/>
      <c r="M12" s="182" t="s">
        <v>119</v>
      </c>
      <c r="AB12" s="208" t="s">
        <v>140</v>
      </c>
    </row>
    <row r="13" spans="1:28" x14ac:dyDescent="0.35">
      <c r="B13" s="97">
        <v>9</v>
      </c>
      <c r="C13" s="5"/>
      <c r="D13" s="6"/>
      <c r="E13" s="100" t="s">
        <v>21</v>
      </c>
      <c r="F13" s="103"/>
      <c r="G13" s="98">
        <f t="shared" si="0"/>
        <v>0</v>
      </c>
      <c r="H13" s="111"/>
      <c r="I13" s="110"/>
      <c r="J13" s="110"/>
      <c r="K13" s="110"/>
      <c r="L13" s="178"/>
      <c r="M13" s="182" t="s">
        <v>119</v>
      </c>
      <c r="AB13" s="208" t="s">
        <v>141</v>
      </c>
    </row>
    <row r="14" spans="1:28" x14ac:dyDescent="0.35">
      <c r="B14" s="97">
        <v>10</v>
      </c>
      <c r="C14" s="5"/>
      <c r="D14" s="6"/>
      <c r="E14" s="100" t="s">
        <v>22</v>
      </c>
      <c r="F14" s="103"/>
      <c r="G14" s="98">
        <f t="shared" si="0"/>
        <v>0</v>
      </c>
      <c r="H14" s="111"/>
      <c r="I14" s="110"/>
      <c r="J14" s="110"/>
      <c r="K14" s="110"/>
      <c r="L14" s="178"/>
      <c r="M14" s="182" t="s">
        <v>119</v>
      </c>
      <c r="AB14" s="208" t="s">
        <v>106</v>
      </c>
    </row>
    <row r="15" spans="1:28" x14ac:dyDescent="0.35">
      <c r="B15" s="97">
        <v>11</v>
      </c>
      <c r="C15" s="5"/>
      <c r="D15" s="6"/>
      <c r="E15" s="100" t="s">
        <v>4</v>
      </c>
      <c r="F15" s="103" t="s">
        <v>11</v>
      </c>
      <c r="G15" s="98">
        <f t="shared" si="0"/>
        <v>0</v>
      </c>
      <c r="H15" s="111"/>
      <c r="I15" s="110"/>
      <c r="J15" s="110"/>
      <c r="K15" s="110"/>
      <c r="L15" s="178"/>
      <c r="M15" s="182" t="s">
        <v>119</v>
      </c>
    </row>
    <row r="16" spans="1:28" x14ac:dyDescent="0.35">
      <c r="B16" s="97">
        <v>12</v>
      </c>
      <c r="C16" s="5"/>
      <c r="D16" s="6"/>
      <c r="E16" s="100" t="s">
        <v>5</v>
      </c>
      <c r="F16" s="103" t="s">
        <v>11</v>
      </c>
      <c r="G16" s="98">
        <f t="shared" si="0"/>
        <v>0</v>
      </c>
      <c r="H16" s="111"/>
      <c r="I16" s="110"/>
      <c r="J16" s="110"/>
      <c r="K16" s="110"/>
      <c r="L16" s="178"/>
      <c r="M16" s="182" t="s">
        <v>119</v>
      </c>
    </row>
    <row r="17" spans="2:13" x14ac:dyDescent="0.35">
      <c r="B17" s="97">
        <v>13</v>
      </c>
      <c r="C17" s="5"/>
      <c r="D17" s="6"/>
      <c r="E17" s="100" t="s">
        <v>24</v>
      </c>
      <c r="F17" s="103"/>
      <c r="G17" s="98">
        <f t="shared" si="0"/>
        <v>0</v>
      </c>
      <c r="H17" s="111"/>
      <c r="I17" s="110"/>
      <c r="J17" s="110"/>
      <c r="K17" s="110"/>
      <c r="L17" s="178"/>
      <c r="M17" s="182" t="s">
        <v>119</v>
      </c>
    </row>
    <row r="18" spans="2:13" x14ac:dyDescent="0.35">
      <c r="B18" s="97">
        <v>14</v>
      </c>
      <c r="C18" s="5"/>
      <c r="D18" s="6"/>
      <c r="E18" s="100" t="s">
        <v>21</v>
      </c>
      <c r="F18" s="103"/>
      <c r="G18" s="98">
        <f t="shared" si="0"/>
        <v>0</v>
      </c>
      <c r="H18" s="111"/>
      <c r="I18" s="110"/>
      <c r="J18" s="110"/>
      <c r="K18" s="110"/>
      <c r="L18" s="178"/>
      <c r="M18" s="182" t="s">
        <v>119</v>
      </c>
    </row>
    <row r="19" spans="2:13" x14ac:dyDescent="0.35">
      <c r="B19" s="97">
        <v>15</v>
      </c>
      <c r="C19" s="5"/>
      <c r="D19" s="6"/>
      <c r="E19" s="100" t="s">
        <v>20</v>
      </c>
      <c r="F19" s="103"/>
      <c r="G19" s="98">
        <f t="shared" si="0"/>
        <v>0</v>
      </c>
      <c r="H19" s="111"/>
      <c r="I19" s="110"/>
      <c r="J19" s="110"/>
      <c r="K19" s="110"/>
      <c r="L19" s="178"/>
      <c r="M19" s="182" t="s">
        <v>119</v>
      </c>
    </row>
    <row r="20" spans="2:13" x14ac:dyDescent="0.35">
      <c r="B20" s="97">
        <v>16</v>
      </c>
      <c r="C20" s="5"/>
      <c r="D20" s="6"/>
      <c r="E20" s="100" t="s">
        <v>21</v>
      </c>
      <c r="F20" s="103"/>
      <c r="G20" s="98">
        <f t="shared" si="0"/>
        <v>0</v>
      </c>
      <c r="H20" s="111"/>
      <c r="I20" s="110"/>
      <c r="J20" s="110"/>
      <c r="K20" s="110"/>
      <c r="L20" s="178"/>
      <c r="M20" s="182" t="s">
        <v>119</v>
      </c>
    </row>
    <row r="21" spans="2:13" x14ac:dyDescent="0.35">
      <c r="B21" s="97">
        <v>17</v>
      </c>
      <c r="C21" s="5"/>
      <c r="D21" s="6"/>
      <c r="E21" s="100" t="s">
        <v>22</v>
      </c>
      <c r="F21" s="103"/>
      <c r="G21" s="98">
        <f t="shared" si="0"/>
        <v>0</v>
      </c>
      <c r="H21" s="111"/>
      <c r="I21" s="110"/>
      <c r="J21" s="110"/>
      <c r="K21" s="110"/>
      <c r="L21" s="178"/>
      <c r="M21" s="182" t="s">
        <v>119</v>
      </c>
    </row>
    <row r="22" spans="2:13" x14ac:dyDescent="0.35">
      <c r="B22" s="97">
        <v>18</v>
      </c>
      <c r="C22" s="5"/>
      <c r="D22" s="6"/>
      <c r="E22" s="100" t="s">
        <v>23</v>
      </c>
      <c r="F22" s="103"/>
      <c r="G22" s="98">
        <f t="shared" si="0"/>
        <v>0</v>
      </c>
      <c r="H22" s="111"/>
      <c r="I22" s="110"/>
      <c r="J22" s="110"/>
      <c r="K22" s="110"/>
      <c r="L22" s="178"/>
      <c r="M22" s="182" t="s">
        <v>119</v>
      </c>
    </row>
    <row r="23" spans="2:13" x14ac:dyDescent="0.35">
      <c r="B23" s="97">
        <v>19</v>
      </c>
      <c r="C23" s="5"/>
      <c r="D23" s="6"/>
      <c r="E23" s="100" t="s">
        <v>23</v>
      </c>
      <c r="F23" s="103"/>
      <c r="G23" s="98">
        <f t="shared" si="0"/>
        <v>0</v>
      </c>
      <c r="H23" s="111"/>
      <c r="I23" s="110"/>
      <c r="J23" s="110"/>
      <c r="K23" s="110"/>
      <c r="L23" s="178"/>
      <c r="M23" s="182" t="s">
        <v>119</v>
      </c>
    </row>
    <row r="24" spans="2:13" x14ac:dyDescent="0.35">
      <c r="B24" s="97">
        <v>20</v>
      </c>
      <c r="C24" s="5"/>
      <c r="D24" s="6"/>
      <c r="E24" s="100" t="s">
        <v>24</v>
      </c>
      <c r="F24" s="103"/>
      <c r="G24" s="98">
        <f t="shared" si="0"/>
        <v>0</v>
      </c>
      <c r="H24" s="111"/>
      <c r="I24" s="110"/>
      <c r="J24" s="110"/>
      <c r="K24" s="110"/>
      <c r="L24" s="178"/>
      <c r="M24" s="182" t="s">
        <v>119</v>
      </c>
    </row>
    <row r="25" spans="2:13" x14ac:dyDescent="0.35">
      <c r="B25" s="97">
        <v>21</v>
      </c>
      <c r="C25" s="5"/>
      <c r="D25" s="6"/>
      <c r="E25" s="100" t="s">
        <v>21</v>
      </c>
      <c r="F25" s="103"/>
      <c r="G25" s="98">
        <f t="shared" si="0"/>
        <v>0</v>
      </c>
      <c r="H25" s="111"/>
      <c r="I25" s="110"/>
      <c r="J25" s="110"/>
      <c r="K25" s="110"/>
      <c r="L25" s="178"/>
      <c r="M25" s="182" t="s">
        <v>119</v>
      </c>
    </row>
    <row r="26" spans="2:13" x14ac:dyDescent="0.35">
      <c r="B26" s="97">
        <v>22</v>
      </c>
      <c r="C26" s="5"/>
      <c r="D26" s="6"/>
      <c r="E26" s="100" t="s">
        <v>20</v>
      </c>
      <c r="F26" s="103"/>
      <c r="G26" s="98">
        <f t="shared" si="0"/>
        <v>0</v>
      </c>
      <c r="H26" s="111"/>
      <c r="I26" s="110"/>
      <c r="J26" s="110"/>
      <c r="K26" s="110"/>
      <c r="L26" s="178"/>
      <c r="M26" s="182" t="s">
        <v>119</v>
      </c>
    </row>
    <row r="27" spans="2:13" x14ac:dyDescent="0.35">
      <c r="B27" s="97">
        <v>23</v>
      </c>
      <c r="C27" s="5"/>
      <c r="D27" s="6"/>
      <c r="E27" s="100" t="s">
        <v>21</v>
      </c>
      <c r="F27" s="103"/>
      <c r="G27" s="98">
        <f t="shared" si="0"/>
        <v>0</v>
      </c>
      <c r="H27" s="111"/>
      <c r="I27" s="110"/>
      <c r="J27" s="110"/>
      <c r="K27" s="110"/>
      <c r="L27" s="178"/>
      <c r="M27" s="182" t="s">
        <v>119</v>
      </c>
    </row>
    <row r="28" spans="2:13" x14ac:dyDescent="0.35">
      <c r="B28" s="97">
        <v>24</v>
      </c>
      <c r="C28" s="5"/>
      <c r="D28" s="6"/>
      <c r="E28" s="100" t="s">
        <v>22</v>
      </c>
      <c r="F28" s="103"/>
      <c r="G28" s="98">
        <f t="shared" si="0"/>
        <v>0</v>
      </c>
      <c r="H28" s="111"/>
      <c r="I28" s="110"/>
      <c r="J28" s="110"/>
      <c r="K28" s="110"/>
      <c r="L28" s="178"/>
      <c r="M28" s="182" t="s">
        <v>119</v>
      </c>
    </row>
    <row r="29" spans="2:13" x14ac:dyDescent="0.35">
      <c r="B29" s="97">
        <v>25</v>
      </c>
      <c r="C29" s="5"/>
      <c r="D29" s="6"/>
      <c r="E29" s="100" t="s">
        <v>4</v>
      </c>
      <c r="F29" s="103"/>
      <c r="G29" s="98">
        <f t="shared" si="0"/>
        <v>0</v>
      </c>
      <c r="H29" s="111"/>
      <c r="I29" s="110"/>
      <c r="J29" s="110"/>
      <c r="K29" s="110"/>
      <c r="L29" s="178"/>
      <c r="M29" s="182" t="s">
        <v>119</v>
      </c>
    </row>
    <row r="30" spans="2:13" x14ac:dyDescent="0.35">
      <c r="B30" s="97">
        <v>26</v>
      </c>
      <c r="C30" s="5"/>
      <c r="D30" s="6"/>
      <c r="E30" s="100" t="s">
        <v>5</v>
      </c>
      <c r="F30" s="103"/>
      <c r="G30" s="98">
        <f t="shared" si="0"/>
        <v>0</v>
      </c>
      <c r="H30" s="111"/>
      <c r="I30" s="110"/>
      <c r="J30" s="110"/>
      <c r="K30" s="110"/>
      <c r="L30" s="178"/>
      <c r="M30" s="182" t="s">
        <v>119</v>
      </c>
    </row>
    <row r="31" spans="2:13" x14ac:dyDescent="0.35">
      <c r="B31" s="97">
        <v>27</v>
      </c>
      <c r="C31" s="5"/>
      <c r="D31" s="6"/>
      <c r="E31" s="100" t="s">
        <v>25</v>
      </c>
      <c r="F31" s="103"/>
      <c r="G31" s="98">
        <f t="shared" si="0"/>
        <v>0</v>
      </c>
      <c r="H31" s="111"/>
      <c r="I31" s="110"/>
      <c r="J31" s="110"/>
      <c r="K31" s="110"/>
      <c r="L31" s="178"/>
      <c r="M31" s="182" t="s">
        <v>119</v>
      </c>
    </row>
    <row r="32" spans="2:13" x14ac:dyDescent="0.35">
      <c r="B32" s="97">
        <v>28</v>
      </c>
      <c r="C32" s="5"/>
      <c r="D32" s="6"/>
      <c r="E32" s="100" t="s">
        <v>18</v>
      </c>
      <c r="F32" s="103"/>
      <c r="G32" s="98">
        <f t="shared" si="0"/>
        <v>0</v>
      </c>
      <c r="H32" s="111"/>
      <c r="I32" s="110"/>
      <c r="J32" s="110"/>
      <c r="K32" s="110"/>
      <c r="L32" s="178"/>
      <c r="M32" s="182" t="s">
        <v>119</v>
      </c>
    </row>
    <row r="33" spans="2:13" x14ac:dyDescent="0.35">
      <c r="B33" s="97">
        <v>29</v>
      </c>
      <c r="C33" s="5"/>
      <c r="D33" s="6"/>
      <c r="E33" s="100" t="s">
        <v>20</v>
      </c>
      <c r="F33" s="103"/>
      <c r="G33" s="98">
        <f t="shared" si="0"/>
        <v>0</v>
      </c>
      <c r="H33" s="111"/>
      <c r="I33" s="110"/>
      <c r="J33" s="110"/>
      <c r="K33" s="110"/>
      <c r="L33" s="178"/>
      <c r="M33" s="182" t="s">
        <v>119</v>
      </c>
    </row>
    <row r="34" spans="2:13" x14ac:dyDescent="0.35">
      <c r="B34" s="97">
        <v>30</v>
      </c>
      <c r="C34" s="5"/>
      <c r="D34" s="6"/>
      <c r="E34" s="100" t="s">
        <v>18</v>
      </c>
      <c r="F34" s="103"/>
      <c r="G34" s="98">
        <f t="shared" si="0"/>
        <v>0</v>
      </c>
      <c r="H34" s="111"/>
      <c r="I34" s="110"/>
      <c r="J34" s="110"/>
      <c r="K34" s="110"/>
      <c r="L34" s="178"/>
      <c r="M34" s="182" t="s">
        <v>119</v>
      </c>
    </row>
    <row r="35" spans="2:13" ht="15" thickBot="1" x14ac:dyDescent="0.4">
      <c r="B35" s="97">
        <v>31</v>
      </c>
      <c r="C35" s="5"/>
      <c r="D35" s="6"/>
      <c r="E35" s="101" t="s">
        <v>22</v>
      </c>
      <c r="F35" s="104"/>
      <c r="G35" s="98">
        <f t="shared" si="0"/>
        <v>0</v>
      </c>
      <c r="H35" s="113"/>
      <c r="I35" s="114"/>
      <c r="J35" s="114"/>
      <c r="K35" s="114"/>
      <c r="L35" s="179"/>
      <c r="M35" s="183" t="s">
        <v>119</v>
      </c>
    </row>
    <row r="36" spans="2:13" ht="15" thickBot="1" x14ac:dyDescent="0.4">
      <c r="B36" s="302" t="s">
        <v>98</v>
      </c>
      <c r="C36" s="303"/>
      <c r="D36" s="303"/>
      <c r="E36" s="303"/>
      <c r="F36" s="303"/>
      <c r="G36" s="119">
        <f>SUM(G5:G35)</f>
        <v>48</v>
      </c>
      <c r="H36" s="118">
        <f>SUM(H5:H35)</f>
        <v>8</v>
      </c>
      <c r="I36" s="118">
        <f t="shared" ref="I36:L36" si="1">SUM(I5:I35)</f>
        <v>8</v>
      </c>
      <c r="J36" s="118">
        <f t="shared" si="1"/>
        <v>8</v>
      </c>
      <c r="K36" s="118">
        <f t="shared" si="1"/>
        <v>0</v>
      </c>
      <c r="L36" s="118">
        <f t="shared" si="1"/>
        <v>0</v>
      </c>
      <c r="M36" s="180">
        <f>SUM(H36:L36)</f>
        <v>24</v>
      </c>
    </row>
    <row r="37" spans="2:13" ht="15" thickBot="1" x14ac:dyDescent="0.4">
      <c r="B37" s="302" t="s">
        <v>78</v>
      </c>
      <c r="C37" s="303"/>
      <c r="D37" s="303"/>
      <c r="E37" s="303"/>
      <c r="F37" s="303"/>
      <c r="G37" s="324">
        <f>G36-SUM(H36:L36)</f>
        <v>24</v>
      </c>
      <c r="H37" s="325"/>
      <c r="I37" s="325"/>
      <c r="J37" s="325"/>
      <c r="K37" s="325"/>
      <c r="L37" s="325"/>
      <c r="M37" s="326"/>
    </row>
    <row r="38" spans="2:13" ht="15" thickBot="1" x14ac:dyDescent="0.4">
      <c r="B38" s="302" t="s">
        <v>12</v>
      </c>
      <c r="C38" s="303"/>
      <c r="D38" s="303"/>
      <c r="E38" s="303"/>
      <c r="F38" s="307"/>
      <c r="G38" s="322">
        <f>H36*1+I36*1.5+J36*2+K36*3+L36*4</f>
        <v>36</v>
      </c>
      <c r="H38" s="322"/>
      <c r="I38" s="322"/>
      <c r="J38" s="322"/>
      <c r="K38" s="322"/>
      <c r="L38" s="322"/>
      <c r="M38" s="323"/>
    </row>
    <row r="39" spans="2:13" ht="15" thickBot="1" x14ac:dyDescent="0.4">
      <c r="B39" s="302" t="s">
        <v>105</v>
      </c>
      <c r="C39" s="303"/>
      <c r="D39" s="303"/>
      <c r="E39" s="303"/>
      <c r="F39" s="303"/>
      <c r="G39" s="304">
        <v>0</v>
      </c>
      <c r="H39" s="305"/>
      <c r="I39" s="305"/>
      <c r="J39" s="305"/>
      <c r="K39" s="305"/>
      <c r="L39" s="305"/>
      <c r="M39" s="306"/>
    </row>
    <row r="40" spans="2:13" ht="15" thickBot="1" x14ac:dyDescent="0.4">
      <c r="B40" s="302" t="s">
        <v>103</v>
      </c>
      <c r="C40" s="303"/>
      <c r="D40" s="303"/>
      <c r="E40" s="303"/>
      <c r="F40" s="303"/>
      <c r="G40" s="308">
        <v>0</v>
      </c>
      <c r="H40" s="309"/>
      <c r="I40" s="309"/>
      <c r="J40" s="309"/>
      <c r="K40" s="309"/>
      <c r="L40" s="309"/>
      <c r="M40" s="310"/>
    </row>
    <row r="41" spans="2:13" ht="15" thickBot="1" x14ac:dyDescent="0.4">
      <c r="B41" s="302" t="s">
        <v>101</v>
      </c>
      <c r="C41" s="303"/>
      <c r="D41" s="303"/>
      <c r="E41" s="303"/>
      <c r="F41" s="303"/>
      <c r="G41" s="308">
        <v>3</v>
      </c>
      <c r="H41" s="309"/>
      <c r="I41" s="309"/>
      <c r="J41" s="309"/>
      <c r="K41" s="309"/>
      <c r="L41" s="309"/>
      <c r="M41" s="310"/>
    </row>
    <row r="42" spans="2:13" ht="15" thickBot="1" x14ac:dyDescent="0.4">
      <c r="B42" s="300" t="s">
        <v>69</v>
      </c>
      <c r="C42" s="301"/>
      <c r="D42" s="301"/>
      <c r="E42" s="301"/>
      <c r="F42" s="301"/>
      <c r="G42" s="313">
        <f ca="1">TODAY()</f>
        <v>43268</v>
      </c>
      <c r="H42" s="314"/>
      <c r="I42" s="314"/>
      <c r="J42" s="314"/>
      <c r="K42" s="314"/>
      <c r="L42" s="314"/>
      <c r="M42" s="315"/>
    </row>
    <row r="43" spans="2:13" ht="15" thickBot="1" x14ac:dyDescent="0.4">
      <c r="B43" s="302" t="s">
        <v>67</v>
      </c>
      <c r="C43" s="303"/>
      <c r="D43" s="303"/>
      <c r="E43" s="303"/>
      <c r="F43" s="303"/>
      <c r="G43" s="316" t="s">
        <v>159</v>
      </c>
      <c r="H43" s="317"/>
      <c r="I43" s="317"/>
      <c r="J43" s="317"/>
      <c r="K43" s="317"/>
      <c r="L43" s="317"/>
      <c r="M43" s="318"/>
    </row>
  </sheetData>
  <mergeCells count="17">
    <mergeCell ref="M3:M4"/>
    <mergeCell ref="G42:M42"/>
    <mergeCell ref="G43:M43"/>
    <mergeCell ref="H3:L3"/>
    <mergeCell ref="G38:M38"/>
    <mergeCell ref="G37:M37"/>
    <mergeCell ref="G40:M40"/>
    <mergeCell ref="B42:F42"/>
    <mergeCell ref="B43:F43"/>
    <mergeCell ref="G39:M39"/>
    <mergeCell ref="B39:F39"/>
    <mergeCell ref="B36:F36"/>
    <mergeCell ref="B37:F37"/>
    <mergeCell ref="B38:F38"/>
    <mergeCell ref="B40:F40"/>
    <mergeCell ref="B41:F41"/>
    <mergeCell ref="G41:M41"/>
  </mergeCells>
  <dataValidations count="1">
    <dataValidation type="list" allowBlank="1" showInputMessage="1" showErrorMessage="1" sqref="C3" xr:uid="{CCFAF07A-1E7C-4873-B5C1-45AF74A74C52}">
      <formula1>$AB$3:$AB$14</formula1>
    </dataValidation>
  </dataValidations>
  <hyperlinks>
    <hyperlink ref="B2" location="Menu!A1" display="Menu" xr:uid="{91D3B751-CA61-414D-BB22-47B63214BF7B}"/>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CalnPaste">
                <anchor moveWithCells="1" sizeWithCells="1">
                  <from>
                    <xdr:col>7</xdr:col>
                    <xdr:colOff>6350</xdr:colOff>
                    <xdr:row>1</xdr:row>
                    <xdr:rowOff>0</xdr:rowOff>
                  </from>
                  <to>
                    <xdr:col>11</xdr:col>
                    <xdr:colOff>596900</xdr:colOff>
                    <xdr:row>1</xdr:row>
                    <xdr:rowOff>177800</xdr:rowOff>
                  </to>
                </anchor>
              </controlPr>
            </control>
          </mc:Choice>
        </mc:AlternateContent>
        <mc:AlternateContent xmlns:mc="http://schemas.openxmlformats.org/markup-compatibility/2006">
          <mc:Choice Requires="x14">
            <control shapeId="1039" r:id="rId5" name="Button 15">
              <controlPr defaultSize="0" print="0" autoFill="0" autoPict="0" macro="[0]!EraseStart">
                <anchor moveWithCells="1" sizeWithCells="1">
                  <from>
                    <xdr:col>1</xdr:col>
                    <xdr:colOff>603250</xdr:colOff>
                    <xdr:row>3</xdr:row>
                    <xdr:rowOff>6350</xdr:rowOff>
                  </from>
                  <to>
                    <xdr:col>3</xdr:col>
                    <xdr:colOff>6350</xdr:colOff>
                    <xdr:row>4</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47" r:id="rId7" name="Button 23">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49" r:id="rId8" name="Button 25">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1" r:id="rId9" name="Button 27">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2" r:id="rId10" name="Button 28">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3" r:id="rId11" name="Button 29">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4" r:id="rId12" name="Button 30">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5" r:id="rId13" name="Button 31">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6" r:id="rId14" name="Button 32">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7" r:id="rId15" name="Button 33">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8" r:id="rId16" name="Button 34">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59" r:id="rId17" name="Button 35">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0" r:id="rId18" name="Button 36">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1" r:id="rId19" name="Button 37">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2" r:id="rId20" name="Button 38">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6" r:id="rId21" name="Button 42">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7" r:id="rId22" name="Button 43">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69" r:id="rId23" name="Button 45">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1" r:id="rId24" name="Button 47">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2" r:id="rId25" name="Button 48">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4" r:id="rId26" name="Button 50">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6" r:id="rId27" name="Button 52">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7" r:id="rId28" name="Button 53">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79" r:id="rId29" name="Button 55">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1" r:id="rId30" name="Button 57">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2" r:id="rId31" name="Button 58">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5" r:id="rId32" name="Button 61">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6" r:id="rId33" name="Button 62">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8" r:id="rId34" name="Button 64">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mc:AlternateContent xmlns:mc="http://schemas.openxmlformats.org/markup-compatibility/2006">
          <mc:Choice Requires="x14">
            <control shapeId="1089" r:id="rId35" name="Button 65">
              <controlPr defaultSize="0" print="0" autoFill="0" autoPict="0" macro="[0]!EraseEnd">
                <anchor moveWithCells="1" sizeWithCells="1">
                  <from>
                    <xdr:col>3</xdr:col>
                    <xdr:colOff>12700</xdr:colOff>
                    <xdr:row>3</xdr:row>
                    <xdr:rowOff>6350</xdr:rowOff>
                  </from>
                  <to>
                    <xdr:col>4</xdr:col>
                    <xdr:colOff>0</xdr:colOff>
                    <xdr:row>4</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Title="Note" error="Name keyed is invalid, kindly check" xr:uid="{FB95E92E-64F8-44A8-954E-115A2A1C653E}">
          <x14:formula1>
            <xm:f>StaffData!$B:$B</xm:f>
          </x14:formula1>
          <xm:sqref>E3</xm:sqref>
        </x14:dataValidation>
        <x14:dataValidation type="list" errorStyle="information" allowBlank="1" showInputMessage="1" showErrorMessage="1" errorTitle="Note" error="Staff Code keyed is invalid, kindly check_x000a_" xr:uid="{66CCDFB3-14ED-41AF-B2D3-4C933EA04A2A}">
          <x14:formula1>
            <xm:f>StaffData!$C:$C</xm:f>
          </x14:formula1>
          <xm:sqref>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96A60-2C3A-41A1-ABAE-C93B29652129}">
  <sheetPr codeName="Sheet4">
    <tabColor rgb="FF00B050"/>
  </sheetPr>
  <dimension ref="A1:T69"/>
  <sheetViews>
    <sheetView tabSelected="1" zoomScale="80" zoomScaleNormal="80" workbookViewId="0">
      <selection activeCell="C4" sqref="C4"/>
    </sheetView>
  </sheetViews>
  <sheetFormatPr defaultRowHeight="14.5" x14ac:dyDescent="0.35"/>
  <cols>
    <col min="1" max="1" width="8" style="2" bestFit="1" customWidth="1"/>
    <col min="2" max="2" width="14.6328125" style="2" bestFit="1" customWidth="1"/>
    <col min="3" max="3" width="17" style="2" customWidth="1"/>
    <col min="4" max="4" width="15.1796875" style="2" bestFit="1" customWidth="1"/>
    <col min="5" max="5" width="17.26953125" style="2" bestFit="1" customWidth="1"/>
    <col min="6" max="6" width="22.26953125" style="2" bestFit="1" customWidth="1"/>
    <col min="7" max="7" width="19.90625" style="2" bestFit="1" customWidth="1"/>
    <col min="8" max="8" width="21.90625" style="122" bestFit="1" customWidth="1"/>
    <col min="9" max="9" width="14.08984375" style="2" bestFit="1" customWidth="1"/>
    <col min="10" max="10" width="14.90625" style="2" bestFit="1" customWidth="1"/>
    <col min="11" max="11" width="15.81640625" style="265" bestFit="1" customWidth="1"/>
    <col min="12" max="12" width="15" style="265" bestFit="1" customWidth="1"/>
    <col min="13" max="13" width="17.90625" style="127" bestFit="1" customWidth="1"/>
    <col min="14" max="14" width="10.6328125" style="2" bestFit="1" customWidth="1"/>
    <col min="15" max="15" width="15.90625" style="2" bestFit="1" customWidth="1"/>
    <col min="16" max="16" width="17.81640625" style="2" bestFit="1" customWidth="1"/>
    <col min="17" max="17" width="21.08984375" style="2" bestFit="1" customWidth="1"/>
  </cols>
  <sheetData>
    <row r="1" spans="1:20" ht="15" thickBot="1" x14ac:dyDescent="0.4">
      <c r="A1" s="2" t="s">
        <v>114</v>
      </c>
      <c r="B1" s="129" t="s">
        <v>131</v>
      </c>
      <c r="C1" s="130">
        <v>26</v>
      </c>
      <c r="G1" s="129" t="s">
        <v>132</v>
      </c>
      <c r="H1" s="130">
        <v>12</v>
      </c>
    </row>
    <row r="2" spans="1:20" x14ac:dyDescent="0.35">
      <c r="B2" s="131"/>
      <c r="C2" s="132"/>
      <c r="D2" s="131"/>
      <c r="E2" s="131"/>
    </row>
    <row r="3" spans="1:20" x14ac:dyDescent="0.35">
      <c r="B3" s="128" t="s">
        <v>35</v>
      </c>
      <c r="C3" s="128" t="s">
        <v>14</v>
      </c>
      <c r="D3" s="128" t="s">
        <v>37</v>
      </c>
      <c r="E3" s="128" t="s">
        <v>82</v>
      </c>
      <c r="F3" s="128" t="s">
        <v>157</v>
      </c>
      <c r="G3" s="128" t="s">
        <v>57</v>
      </c>
      <c r="H3" s="128" t="s">
        <v>158</v>
      </c>
      <c r="I3" s="128" t="s">
        <v>38</v>
      </c>
      <c r="J3" s="128" t="s">
        <v>66</v>
      </c>
      <c r="K3" s="266" t="s">
        <v>36</v>
      </c>
      <c r="L3" s="266" t="s">
        <v>70</v>
      </c>
      <c r="M3" s="126" t="s">
        <v>40</v>
      </c>
      <c r="N3" s="123" t="s">
        <v>39</v>
      </c>
      <c r="O3" s="123" t="s">
        <v>115</v>
      </c>
      <c r="P3" s="96" t="s">
        <v>116</v>
      </c>
      <c r="Q3" s="96" t="s">
        <v>41</v>
      </c>
    </row>
    <row r="4" spans="1:20" x14ac:dyDescent="0.35">
      <c r="A4" s="2" t="s">
        <v>109</v>
      </c>
      <c r="B4" s="96" t="s">
        <v>42</v>
      </c>
      <c r="C4" s="124" t="s">
        <v>254</v>
      </c>
      <c r="D4" s="96" t="s">
        <v>53</v>
      </c>
      <c r="E4" s="96" t="s">
        <v>81</v>
      </c>
      <c r="F4" s="120">
        <v>42941</v>
      </c>
      <c r="G4" s="120">
        <v>23543</v>
      </c>
      <c r="H4" s="120">
        <v>39583</v>
      </c>
      <c r="I4" s="96" t="s">
        <v>24</v>
      </c>
      <c r="J4" s="96" t="s">
        <v>22</v>
      </c>
      <c r="K4" s="134">
        <v>1300</v>
      </c>
      <c r="L4" s="134"/>
      <c r="M4" s="126">
        <f>IF(StaffInfo[[#This Row],[Part/Full]]="F",(StaffInfo[[#This Row],[Basic Pay]]*12)/(52*44),(StaffInfo[[#This Row],[Day Rate]]/$H$1))</f>
        <v>6.8181818181818183</v>
      </c>
      <c r="N4" s="123">
        <f ca="1">YEARFRAC(StaffInfo[[#This Row],[Date of Birth]],TODAY(),1)</f>
        <v>54.003434715515958</v>
      </c>
      <c r="O4" s="123">
        <f ca="1">IF(StaffInfo[[#This Row],[Start date of PR]]="", "NA", YEARFRAC(StaffInfo[[#This Row],[Start date of PR]],TODAY(),1))</f>
        <v>0.89589041095890409</v>
      </c>
      <c r="P4" s="123">
        <f ca="1">YEARFRAC(StaffInfo[[#This Row],[Date employed]],TODAY(),1)</f>
        <v>10.088352414136386</v>
      </c>
      <c r="Q4" s="96">
        <f ca="1">IF(StaffInfo[[#This Row],[Part/Full]]="F",IF(StaffInfo[[#This Row],[Years in co]]&gt;10,18,IF(StaffInfo[[#This Row],[Years in co]]&gt;7,17,IF(StaffInfo[[#This Row],[Years in co]]&gt;5,16,IF(StaffInfo[[#This Row],[Years in co]]&gt;3,15,14)))),0)</f>
        <v>18</v>
      </c>
      <c r="S4" s="2"/>
      <c r="T4" s="2"/>
    </row>
    <row r="5" spans="1:20" x14ac:dyDescent="0.35">
      <c r="A5" s="2" t="s">
        <v>113</v>
      </c>
      <c r="B5" s="96" t="s">
        <v>43</v>
      </c>
      <c r="C5" s="124" t="s">
        <v>255</v>
      </c>
      <c r="D5" s="96" t="s">
        <v>54</v>
      </c>
      <c r="E5" s="96" t="s">
        <v>10</v>
      </c>
      <c r="F5" s="120">
        <v>42900</v>
      </c>
      <c r="G5" s="120">
        <v>23864</v>
      </c>
      <c r="H5" s="120">
        <v>39584</v>
      </c>
      <c r="I5" s="96" t="s">
        <v>24</v>
      </c>
      <c r="J5" s="96" t="s">
        <v>22</v>
      </c>
      <c r="K5" s="134">
        <v>1100</v>
      </c>
      <c r="L5" s="134"/>
      <c r="M5" s="126">
        <f>IF(StaffInfo[[#This Row],[Part/Full]]="F",(StaffInfo[[#This Row],[Basic Pay]]*12)/(52*44),(StaffInfo[[#This Row],[Day Rate]]/$H$1))</f>
        <v>5.7692307692307692</v>
      </c>
      <c r="N5" s="123">
        <f ca="1">YEARFRAC(StaffInfo[[#This Row],[Date of Birth]],TODAY(),1)</f>
        <v>53.126603457891797</v>
      </c>
      <c r="O5" s="123">
        <f ca="1">IF(StaffInfo[[#This Row],[Start date of PR]]="", "NA", YEARFRAC(StaffInfo[[#This Row],[Start date of PR]],TODAY(),1))</f>
        <v>1.0082191780821919</v>
      </c>
      <c r="P5" s="123">
        <f ca="1">YEARFRAC(StaffInfo[[#This Row],[Date employed]],TODAY(),1)</f>
        <v>10.085614733698359</v>
      </c>
      <c r="Q5" s="96">
        <f ca="1">IF(StaffInfo[[#This Row],[Part/Full]]="F",IF(StaffInfo[[#This Row],[Years in co]]&gt;10,18,IF(StaffInfo[[#This Row],[Years in co]]&gt;7,17,IF(StaffInfo[[#This Row],[Years in co]]&gt;5,16,IF(StaffInfo[[#This Row],[Years in co]]&gt;3,15,14)))),0)</f>
        <v>18</v>
      </c>
      <c r="S5" s="2"/>
      <c r="T5" s="2"/>
    </row>
    <row r="6" spans="1:20" x14ac:dyDescent="0.35">
      <c r="A6" s="164" t="s">
        <v>110</v>
      </c>
      <c r="B6" s="96" t="s">
        <v>44</v>
      </c>
      <c r="C6" s="124" t="s">
        <v>192</v>
      </c>
      <c r="D6" s="96" t="s">
        <v>55</v>
      </c>
      <c r="E6" s="96" t="s">
        <v>81</v>
      </c>
      <c r="F6" s="120">
        <v>42900</v>
      </c>
      <c r="G6" s="120">
        <v>24230</v>
      </c>
      <c r="H6" s="120">
        <v>40678</v>
      </c>
      <c r="I6" s="96" t="s">
        <v>22</v>
      </c>
      <c r="J6" s="96" t="s">
        <v>72</v>
      </c>
      <c r="K6" s="134"/>
      <c r="L6" s="134">
        <v>130</v>
      </c>
      <c r="M6" s="126">
        <f>IF(StaffInfo[[#This Row],[Part/Full]]="F",(StaffInfo[[#This Row],[Basic Pay]]*12)/(52*44),(StaffInfo[[#This Row],[Day Rate]]/$H$1))</f>
        <v>10.833333333333334</v>
      </c>
      <c r="N6" s="123">
        <f ca="1">YEARFRAC(StaffInfo[[#This Row],[Date of Birth]],TODAY(),1)</f>
        <v>52.123876433515854</v>
      </c>
      <c r="O6" s="123">
        <f ca="1">IF(StaffInfo[[#This Row],[Start date of PR]]="", "NA", YEARFRAC(StaffInfo[[#This Row],[Start date of PR]],TODAY(),1))</f>
        <v>1.0082191780821919</v>
      </c>
      <c r="P6" s="123">
        <f ca="1">YEARFRAC(StaffInfo[[#This Row],[Date employed]],TODAY(),1)</f>
        <v>7.0910335386721428</v>
      </c>
      <c r="Q6" s="96">
        <f>IF(StaffInfo[[#This Row],[Part/Full]]="F",IF(StaffInfo[[#This Row],[Years in co]]&gt;10,18,IF(StaffInfo[[#This Row],[Years in co]]&gt;7,17,IF(StaffInfo[[#This Row],[Years in co]]&gt;5,16,IF(StaffInfo[[#This Row],[Years in co]]&gt;3,15,14)))),0)</f>
        <v>0</v>
      </c>
      <c r="S6" s="2"/>
      <c r="T6" s="2"/>
    </row>
    <row r="7" spans="1:20" x14ac:dyDescent="0.35">
      <c r="A7" s="164" t="s">
        <v>110</v>
      </c>
      <c r="B7" s="96" t="s">
        <v>45</v>
      </c>
      <c r="C7" s="124" t="s">
        <v>193</v>
      </c>
      <c r="D7" s="96" t="s">
        <v>56</v>
      </c>
      <c r="E7" s="96" t="s">
        <v>81</v>
      </c>
      <c r="F7" s="120">
        <v>42900</v>
      </c>
      <c r="G7" s="120">
        <v>24596</v>
      </c>
      <c r="H7" s="120">
        <v>40679</v>
      </c>
      <c r="I7" s="96" t="s">
        <v>24</v>
      </c>
      <c r="J7" s="96" t="s">
        <v>72</v>
      </c>
      <c r="K7" s="134"/>
      <c r="L7" s="134">
        <v>130</v>
      </c>
      <c r="M7" s="126">
        <f>IF(StaffInfo[[#This Row],[Part/Full]]="F",(StaffInfo[[#This Row],[Basic Pay]]*12)/(52*44),(StaffInfo[[#This Row],[Day Rate]]/$H$1))</f>
        <v>10.833333333333334</v>
      </c>
      <c r="N7" s="123">
        <f ca="1">YEARFRAC(StaffInfo[[#This Row],[Date of Birth]],TODAY(),1)</f>
        <v>51.121149897330596</v>
      </c>
      <c r="O7" s="123">
        <f ca="1">IF(StaffInfo[[#This Row],[Start date of PR]]="", "NA", YEARFRAC(StaffInfo[[#This Row],[Start date of PR]],TODAY(),1))</f>
        <v>1.0082191780821919</v>
      </c>
      <c r="P7" s="123">
        <f ca="1">YEARFRAC(StaffInfo[[#This Row],[Date employed]],TODAY(),1)</f>
        <v>7.0882956878850099</v>
      </c>
      <c r="Q7" s="96">
        <f>IF(StaffInfo[[#This Row],[Part/Full]]="F",IF(StaffInfo[[#This Row],[Years in co]]&gt;10,18,IF(StaffInfo[[#This Row],[Years in co]]&gt;7,17,IF(StaffInfo[[#This Row],[Years in co]]&gt;5,16,IF(StaffInfo[[#This Row],[Years in co]]&gt;3,15,14)))),0)</f>
        <v>0</v>
      </c>
      <c r="S7" s="2"/>
      <c r="T7" s="2"/>
    </row>
    <row r="8" spans="1:20" x14ac:dyDescent="0.35">
      <c r="A8" s="164" t="s">
        <v>110</v>
      </c>
      <c r="B8" s="96" t="s">
        <v>46</v>
      </c>
      <c r="C8" s="124" t="s">
        <v>194</v>
      </c>
      <c r="D8" s="96" t="s">
        <v>56</v>
      </c>
      <c r="E8" s="96" t="s">
        <v>81</v>
      </c>
      <c r="F8" s="120">
        <v>42891</v>
      </c>
      <c r="G8" s="120">
        <v>24597</v>
      </c>
      <c r="H8" s="120">
        <v>41409</v>
      </c>
      <c r="I8" s="96" t="s">
        <v>24</v>
      </c>
      <c r="J8" s="96" t="s">
        <v>72</v>
      </c>
      <c r="K8" s="134"/>
      <c r="L8" s="134">
        <v>120</v>
      </c>
      <c r="M8" s="126">
        <f>IF(StaffInfo[[#This Row],[Part/Full]]="F",(StaffInfo[[#This Row],[Basic Pay]]*12)/(52*44),(StaffInfo[[#This Row],[Day Rate]]/$H$1))</f>
        <v>10</v>
      </c>
      <c r="N8" s="123">
        <f ca="1">YEARFRAC(StaffInfo[[#This Row],[Date of Birth]],TODAY(),1)</f>
        <v>51.118412046543462</v>
      </c>
      <c r="O8" s="123">
        <f ca="1">IF(StaffInfo[[#This Row],[Start date of PR]]="", "NA", YEARFRAC(StaffInfo[[#This Row],[Start date of PR]],TODAY(),1))</f>
        <v>1.0328767123287672</v>
      </c>
      <c r="P8" s="123">
        <f ca="1">YEARFRAC(StaffInfo[[#This Row],[Date employed]],TODAY(),1)</f>
        <v>5.0908261068005478</v>
      </c>
      <c r="Q8" s="96">
        <f>IF(StaffInfo[[#This Row],[Part/Full]]="F",IF(StaffInfo[[#This Row],[Years in co]]&gt;10,18,IF(StaffInfo[[#This Row],[Years in co]]&gt;7,17,IF(StaffInfo[[#This Row],[Years in co]]&gt;5,16,IF(StaffInfo[[#This Row],[Years in co]]&gt;3,15,14)))),0)</f>
        <v>0</v>
      </c>
      <c r="S8" s="2"/>
      <c r="T8" s="2"/>
    </row>
    <row r="9" spans="1:20" x14ac:dyDescent="0.35">
      <c r="A9" s="164" t="s">
        <v>110</v>
      </c>
      <c r="B9" s="96" t="s">
        <v>49</v>
      </c>
      <c r="C9" s="124" t="s">
        <v>195</v>
      </c>
      <c r="D9" s="96" t="s">
        <v>54</v>
      </c>
      <c r="E9" s="96" t="s">
        <v>81</v>
      </c>
      <c r="F9" s="120">
        <v>42900</v>
      </c>
      <c r="G9" s="120">
        <v>24598</v>
      </c>
      <c r="H9" s="120">
        <v>41410</v>
      </c>
      <c r="I9" s="96" t="s">
        <v>24</v>
      </c>
      <c r="J9" s="96" t="s">
        <v>22</v>
      </c>
      <c r="K9" s="134">
        <v>1100</v>
      </c>
      <c r="L9" s="134"/>
      <c r="M9" s="126">
        <f>IF(StaffInfo[[#This Row],[Part/Full]]="F",(StaffInfo[[#This Row],[Basic Pay]]*12)/(52*44),(StaffInfo[[#This Row],[Day Rate]]/$H$1))</f>
        <v>5.7692307692307692</v>
      </c>
      <c r="N9" s="123">
        <f ca="1">YEARFRAC(StaffInfo[[#This Row],[Date of Birth]],TODAY(),1)</f>
        <v>51.115674195756334</v>
      </c>
      <c r="O9" s="123">
        <f ca="1">IF(StaffInfo[[#This Row],[Start date of PR]]="", "NA", YEARFRAC(StaffInfo[[#This Row],[Start date of PR]],TODAY(),1))</f>
        <v>1.0082191780821919</v>
      </c>
      <c r="P9" s="123">
        <f ca="1">YEARFRAC(StaffInfo[[#This Row],[Date employed]],TODAY(),1)</f>
        <v>5.0880876312186212</v>
      </c>
      <c r="Q9" s="96">
        <f ca="1">IF(StaffInfo[[#This Row],[Part/Full]]="F",IF(StaffInfo[[#This Row],[Years in co]]&gt;10,18,IF(StaffInfo[[#This Row],[Years in co]]&gt;7,17,IF(StaffInfo[[#This Row],[Years in co]]&gt;5,16,IF(StaffInfo[[#This Row],[Years in co]]&gt;3,15,14)))),0)</f>
        <v>16</v>
      </c>
    </row>
    <row r="10" spans="1:20" x14ac:dyDescent="0.35">
      <c r="A10" s="2" t="s">
        <v>110</v>
      </c>
      <c r="B10" s="96" t="s">
        <v>50</v>
      </c>
      <c r="C10" s="124" t="s">
        <v>196</v>
      </c>
      <c r="D10" s="96" t="s">
        <v>54</v>
      </c>
      <c r="E10" s="96" t="s">
        <v>81</v>
      </c>
      <c r="F10" s="120">
        <v>42871</v>
      </c>
      <c r="G10" s="120">
        <v>22773</v>
      </c>
      <c r="H10" s="120">
        <v>42139</v>
      </c>
      <c r="I10" s="96" t="s">
        <v>22</v>
      </c>
      <c r="J10" s="96" t="s">
        <v>72</v>
      </c>
      <c r="K10" s="134"/>
      <c r="L10" s="134">
        <v>100</v>
      </c>
      <c r="M10" s="126">
        <f>IF(StaffInfo[[#This Row],[Part/Full]]="F",(StaffInfo[[#This Row],[Basic Pay]]*12)/(52*44),(StaffInfo[[#This Row],[Day Rate]]/$H$1))</f>
        <v>8.3333333333333339</v>
      </c>
      <c r="N10" s="123">
        <f ca="1">YEARFRAC(StaffInfo[[#This Row],[Date of Birth]],TODAY(),1)</f>
        <v>56.112925692876701</v>
      </c>
      <c r="O10" s="123">
        <f ca="1">IF(StaffInfo[[#This Row],[Start date of PR]]="", "NA", YEARFRAC(StaffInfo[[#This Row],[Start date of PR]],TODAY(),1))</f>
        <v>1.0876712328767124</v>
      </c>
      <c r="P10" s="123">
        <f ca="1">YEARFRAC(StaffInfo[[#This Row],[Date employed]],TODAY(),1)</f>
        <v>3.0910335386721424</v>
      </c>
      <c r="Q10" s="96">
        <f>IF(StaffInfo[[#This Row],[Part/Full]]="F",IF(StaffInfo[[#This Row],[Years in co]]&gt;10,18,IF(StaffInfo[[#This Row],[Years in co]]&gt;7,17,IF(StaffInfo[[#This Row],[Years in co]]&gt;5,16,IF(StaffInfo[[#This Row],[Years in co]]&gt;3,15,14)))),0)</f>
        <v>0</v>
      </c>
    </row>
    <row r="11" spans="1:20" x14ac:dyDescent="0.35">
      <c r="A11" s="2" t="s">
        <v>110</v>
      </c>
      <c r="B11" s="96" t="s">
        <v>51</v>
      </c>
      <c r="C11" s="124" t="s">
        <v>197</v>
      </c>
      <c r="D11" s="96" t="s">
        <v>54</v>
      </c>
      <c r="E11" s="96" t="s">
        <v>81</v>
      </c>
      <c r="F11" s="120">
        <v>42872</v>
      </c>
      <c r="G11" s="120">
        <v>22774</v>
      </c>
      <c r="H11" s="120">
        <v>42140</v>
      </c>
      <c r="I11" s="96" t="s">
        <v>24</v>
      </c>
      <c r="J11" s="96" t="s">
        <v>72</v>
      </c>
      <c r="K11" s="134"/>
      <c r="L11" s="134">
        <v>100</v>
      </c>
      <c r="M11" s="126">
        <f>IF(StaffInfo[[#This Row],[Part/Full]]="F",(StaffInfo[[#This Row],[Basic Pay]]*12)/(52*44),(StaffInfo[[#This Row],[Day Rate]]/$H$1))</f>
        <v>8.3333333333333339</v>
      </c>
      <c r="N11" s="123">
        <f ca="1">YEARFRAC(StaffInfo[[#This Row],[Date of Birth]],TODAY(),1)</f>
        <v>56.110187809212739</v>
      </c>
      <c r="O11" s="123">
        <f ca="1">IF(StaffInfo[[#This Row],[Start date of PR]]="", "NA", YEARFRAC(StaffInfo[[#This Row],[Start date of PR]],TODAY(),1))</f>
        <v>1.0849315068493151</v>
      </c>
      <c r="P11" s="123">
        <f ca="1">YEARFRAC(StaffInfo[[#This Row],[Date employed]],TODAY(),1)</f>
        <v>3.0882956878850103</v>
      </c>
      <c r="Q11" s="96">
        <f>IF(StaffInfo[[#This Row],[Part/Full]]="F",IF(StaffInfo[[#This Row],[Years in co]]&gt;10,18,IF(StaffInfo[[#This Row],[Years in co]]&gt;7,17,IF(StaffInfo[[#This Row],[Years in co]]&gt;5,16,IF(StaffInfo[[#This Row],[Years in co]]&gt;3,15,14)))),0)</f>
        <v>0</v>
      </c>
    </row>
    <row r="12" spans="1:20" x14ac:dyDescent="0.35">
      <c r="A12" s="2" t="s">
        <v>110</v>
      </c>
      <c r="B12" s="96" t="s">
        <v>52</v>
      </c>
      <c r="C12" s="124" t="s">
        <v>198</v>
      </c>
      <c r="D12" s="96" t="s">
        <v>53</v>
      </c>
      <c r="E12" s="96" t="s">
        <v>81</v>
      </c>
      <c r="F12" s="120">
        <v>42873</v>
      </c>
      <c r="G12" s="120">
        <v>22410</v>
      </c>
      <c r="H12" s="120">
        <v>42141</v>
      </c>
      <c r="I12" s="96" t="s">
        <v>24</v>
      </c>
      <c r="J12" s="96" t="s">
        <v>72</v>
      </c>
      <c r="K12" s="134"/>
      <c r="L12" s="134">
        <v>110</v>
      </c>
      <c r="M12" s="126">
        <f>IF(StaffInfo[[#This Row],[Part/Full]]="F",(StaffInfo[[#This Row],[Basic Pay]]*12)/(52*44),(StaffInfo[[#This Row],[Day Rate]]/$H$1))</f>
        <v>9.1666666666666661</v>
      </c>
      <c r="N12" s="123">
        <f ca="1">YEARFRAC(StaffInfo[[#This Row],[Date of Birth]],TODAY(),1)</f>
        <v>57.107439577039273</v>
      </c>
      <c r="O12" s="123">
        <f ca="1">IF(StaffInfo[[#This Row],[Start date of PR]]="", "NA", YEARFRAC(StaffInfo[[#This Row],[Start date of PR]],TODAY(),1))</f>
        <v>1.0821917808219179</v>
      </c>
      <c r="P12" s="123">
        <f ca="1">YEARFRAC(StaffInfo[[#This Row],[Date employed]],TODAY(),1)</f>
        <v>3.0855578370978782</v>
      </c>
      <c r="Q12" s="96">
        <f>IF(StaffInfo[[#This Row],[Part/Full]]="F",IF(StaffInfo[[#This Row],[Years in co]]&gt;10,18,IF(StaffInfo[[#This Row],[Years in co]]&gt;7,17,IF(StaffInfo[[#This Row],[Years in co]]&gt;5,16,IF(StaffInfo[[#This Row],[Years in co]]&gt;3,15,14)))),0)</f>
        <v>0</v>
      </c>
    </row>
    <row r="13" spans="1:20" x14ac:dyDescent="0.35">
      <c r="A13" s="2" t="s">
        <v>110</v>
      </c>
      <c r="B13" s="96" t="s">
        <v>58</v>
      </c>
      <c r="C13" s="124" t="s">
        <v>199</v>
      </c>
      <c r="D13" s="96" t="s">
        <v>55</v>
      </c>
      <c r="E13" s="96" t="s">
        <v>81</v>
      </c>
      <c r="F13" s="120">
        <v>42874</v>
      </c>
      <c r="G13" s="120">
        <v>22411</v>
      </c>
      <c r="H13" s="120">
        <v>42142</v>
      </c>
      <c r="I13" s="96" t="s">
        <v>24</v>
      </c>
      <c r="J13" s="96" t="s">
        <v>22</v>
      </c>
      <c r="K13" s="134">
        <v>1700</v>
      </c>
      <c r="L13" s="134"/>
      <c r="M13" s="126">
        <f>IF(StaffInfo[[#This Row],[Part/Full]]="F",(StaffInfo[[#This Row],[Basic Pay]]*12)/(52*44),(StaffInfo[[#This Row],[Day Rate]]/$H$1))</f>
        <v>8.9160839160839167</v>
      </c>
      <c r="N13" s="123">
        <f ca="1">YEARFRAC(StaffInfo[[#This Row],[Date of Birth]],TODAY(),1)</f>
        <v>57.104701661631417</v>
      </c>
      <c r="O13" s="123">
        <f ca="1">IF(StaffInfo[[#This Row],[Start date of PR]]="", "NA", YEARFRAC(StaffInfo[[#This Row],[Start date of PR]],TODAY(),1))</f>
        <v>1.0794520547945206</v>
      </c>
      <c r="P13" s="123">
        <f ca="1">YEARFRAC(StaffInfo[[#This Row],[Date employed]],TODAY(),1)</f>
        <v>3.0828199863107462</v>
      </c>
      <c r="Q13" s="96">
        <f ca="1">IF(StaffInfo[[#This Row],[Part/Full]]="F",IF(StaffInfo[[#This Row],[Years in co]]&gt;10,18,IF(StaffInfo[[#This Row],[Years in co]]&gt;7,17,IF(StaffInfo[[#This Row],[Years in co]]&gt;5,16,IF(StaffInfo[[#This Row],[Years in co]]&gt;3,15,14)))),0)</f>
        <v>15</v>
      </c>
    </row>
    <row r="14" spans="1:20" x14ac:dyDescent="0.35">
      <c r="A14" s="164" t="s">
        <v>110</v>
      </c>
      <c r="B14" s="96" t="s">
        <v>65</v>
      </c>
      <c r="C14" s="124" t="s">
        <v>256</v>
      </c>
      <c r="D14" s="96" t="s">
        <v>53</v>
      </c>
      <c r="E14" s="96" t="s">
        <v>81</v>
      </c>
      <c r="F14" s="120">
        <v>42881</v>
      </c>
      <c r="G14" s="120">
        <v>20951</v>
      </c>
      <c r="H14" s="120">
        <v>42143</v>
      </c>
      <c r="I14" s="96" t="s">
        <v>24</v>
      </c>
      <c r="J14" s="96" t="s">
        <v>72</v>
      </c>
      <c r="K14" s="134"/>
      <c r="L14" s="134">
        <v>110</v>
      </c>
      <c r="M14" s="126">
        <f>IF(StaffInfo[[#This Row],[Part/Full]]="F",(StaffInfo[[#This Row],[Basic Pay]]*12)/(52*44),(StaffInfo[[#This Row],[Day Rate]]/$H$1))</f>
        <v>9.1666666666666661</v>
      </c>
      <c r="N14" s="123">
        <f ca="1">YEARFRAC(StaffInfo[[#This Row],[Date of Birth]],TODAY(),1)</f>
        <v>61.101965113711636</v>
      </c>
      <c r="O14" s="123">
        <f ca="1">IF(StaffInfo[[#This Row],[Start date of PR]]="", "NA", YEARFRAC(StaffInfo[[#This Row],[Start date of PR]],TODAY(),1))</f>
        <v>1.0602739726027397</v>
      </c>
      <c r="P14" s="123">
        <f ca="1">YEARFRAC(StaffInfo[[#This Row],[Date employed]],TODAY(),1)</f>
        <v>3.0800821355236141</v>
      </c>
      <c r="Q14" s="96">
        <f>IF(StaffInfo[[#This Row],[Part/Full]]="F",IF(StaffInfo[[#This Row],[Years in co]]&gt;10,18,IF(StaffInfo[[#This Row],[Years in co]]&gt;7,17,IF(StaffInfo[[#This Row],[Years in co]]&gt;5,16,IF(StaffInfo[[#This Row],[Years in co]]&gt;3,15,14)))),0)</f>
        <v>0</v>
      </c>
    </row>
    <row r="15" spans="1:20" x14ac:dyDescent="0.35">
      <c r="A15" s="164" t="s">
        <v>110</v>
      </c>
      <c r="B15" s="96" t="s">
        <v>59</v>
      </c>
      <c r="C15" s="124" t="s">
        <v>200</v>
      </c>
      <c r="D15" s="96" t="s">
        <v>54</v>
      </c>
      <c r="E15" s="96" t="s">
        <v>81</v>
      </c>
      <c r="F15" s="120">
        <v>42882</v>
      </c>
      <c r="G15" s="120">
        <v>20962</v>
      </c>
      <c r="H15" s="120">
        <v>42144</v>
      </c>
      <c r="I15" s="96" t="s">
        <v>22</v>
      </c>
      <c r="J15" s="96" t="s">
        <v>72</v>
      </c>
      <c r="K15" s="134"/>
      <c r="L15" s="134">
        <v>100</v>
      </c>
      <c r="M15" s="126">
        <f>IF(StaffInfo[[#This Row],[Part/Full]]="F",(StaffInfo[[#This Row],[Basic Pay]]*12)/(52*44),(StaffInfo[[#This Row],[Day Rate]]/$H$1))</f>
        <v>8.3333333333333339</v>
      </c>
      <c r="N15" s="123">
        <f ca="1">YEARFRAC(StaffInfo[[#This Row],[Date of Birth]],TODAY(),1)</f>
        <v>61.071848090086114</v>
      </c>
      <c r="O15" s="123">
        <f ca="1">IF(StaffInfo[[#This Row],[Start date of PR]]="", "NA", YEARFRAC(StaffInfo[[#This Row],[Start date of PR]],TODAY(),1))</f>
        <v>1.0575342465753426</v>
      </c>
      <c r="P15" s="123">
        <f ca="1">YEARFRAC(StaffInfo[[#This Row],[Date employed]],TODAY(),1)</f>
        <v>3.077344284736482</v>
      </c>
      <c r="Q15" s="96">
        <f>IF(StaffInfo[[#This Row],[Part/Full]]="F",IF(StaffInfo[[#This Row],[Years in co]]&gt;10,18,IF(StaffInfo[[#This Row],[Years in co]]&gt;7,17,IF(StaffInfo[[#This Row],[Years in co]]&gt;5,16,IF(StaffInfo[[#This Row],[Years in co]]&gt;3,15,14)))),0)</f>
        <v>0</v>
      </c>
    </row>
    <row r="16" spans="1:20" x14ac:dyDescent="0.35">
      <c r="A16" s="164" t="s">
        <v>110</v>
      </c>
      <c r="B16" s="96" t="s">
        <v>63</v>
      </c>
      <c r="C16" s="124" t="s">
        <v>201</v>
      </c>
      <c r="D16" s="96" t="s">
        <v>53</v>
      </c>
      <c r="E16" s="96" t="s">
        <v>81</v>
      </c>
      <c r="F16" s="120">
        <v>42883</v>
      </c>
      <c r="G16" s="120">
        <v>20597</v>
      </c>
      <c r="H16" s="120">
        <v>42145</v>
      </c>
      <c r="I16" s="96" t="s">
        <v>22</v>
      </c>
      <c r="J16" s="96" t="s">
        <v>72</v>
      </c>
      <c r="K16" s="134"/>
      <c r="L16" s="134">
        <v>110</v>
      </c>
      <c r="M16" s="126">
        <f>IF(StaffInfo[[#This Row],[Part/Full]]="F",(StaffInfo[[#This Row],[Basic Pay]]*12)/(52*44),(StaffInfo[[#This Row],[Day Rate]]/$H$1))</f>
        <v>9.1666666666666661</v>
      </c>
      <c r="N16" s="123">
        <f ca="1">YEARFRAC(StaffInfo[[#This Row],[Date of Birth]],TODAY(),1)</f>
        <v>62.069140845682497</v>
      </c>
      <c r="O16" s="123">
        <f ca="1">IF(StaffInfo[[#This Row],[Start date of PR]]="", "NA", YEARFRAC(StaffInfo[[#This Row],[Start date of PR]],TODAY(),1))</f>
        <v>1.0547945205479452</v>
      </c>
      <c r="P16" s="123">
        <f ca="1">YEARFRAC(StaffInfo[[#This Row],[Date employed]],TODAY(),1)</f>
        <v>3.07460643394935</v>
      </c>
      <c r="Q16" s="96">
        <f>IF(StaffInfo[[#This Row],[Part/Full]]="F",IF(StaffInfo[[#This Row],[Years in co]]&gt;10,18,IF(StaffInfo[[#This Row],[Years in co]]&gt;7,17,IF(StaffInfo[[#This Row],[Years in co]]&gt;5,16,IF(StaffInfo[[#This Row],[Years in co]]&gt;3,15,14)))),0)</f>
        <v>0</v>
      </c>
    </row>
    <row r="17" spans="1:17" x14ac:dyDescent="0.35">
      <c r="A17" s="164" t="s">
        <v>110</v>
      </c>
      <c r="B17" s="96" t="s">
        <v>64</v>
      </c>
      <c r="C17" s="124" t="s">
        <v>202</v>
      </c>
      <c r="D17" s="96" t="s">
        <v>55</v>
      </c>
      <c r="E17" s="96" t="s">
        <v>81</v>
      </c>
      <c r="F17" s="120">
        <v>42884</v>
      </c>
      <c r="G17" s="120">
        <v>20589</v>
      </c>
      <c r="H17" s="120">
        <v>42146</v>
      </c>
      <c r="I17" s="96" t="s">
        <v>24</v>
      </c>
      <c r="J17" s="96" t="s">
        <v>22</v>
      </c>
      <c r="K17" s="134">
        <v>1700</v>
      </c>
      <c r="L17" s="134"/>
      <c r="M17" s="126">
        <f>IF(StaffInfo[[#This Row],[Part/Full]]="F",(StaffInfo[[#This Row],[Basic Pay]]*12)/(52*44),(StaffInfo[[#This Row],[Day Rate]]/$H$1))</f>
        <v>8.9160839160839167</v>
      </c>
      <c r="N17" s="123">
        <f ca="1">YEARFRAC(StaffInfo[[#This Row],[Date of Birth]],TODAY(),1)</f>
        <v>62.091043414019381</v>
      </c>
      <c r="O17" s="123">
        <f ca="1">IF(StaffInfo[[#This Row],[Start date of PR]]="", "NA", YEARFRAC(StaffInfo[[#This Row],[Start date of PR]],TODAY(),1))</f>
        <v>1.0520547945205478</v>
      </c>
      <c r="P17" s="123">
        <f ca="1">YEARFRAC(StaffInfo[[#This Row],[Date employed]],TODAY(),1)</f>
        <v>3.0718685831622174</v>
      </c>
      <c r="Q17" s="96">
        <f ca="1">IF(StaffInfo[[#This Row],[Part/Full]]="F",IF(StaffInfo[[#This Row],[Years in co]]&gt;10,18,IF(StaffInfo[[#This Row],[Years in co]]&gt;7,17,IF(StaffInfo[[#This Row],[Years in co]]&gt;5,16,IF(StaffInfo[[#This Row],[Years in co]]&gt;3,15,14)))),0)</f>
        <v>15</v>
      </c>
    </row>
    <row r="18" spans="1:17" x14ac:dyDescent="0.35">
      <c r="A18" s="2" t="s">
        <v>110</v>
      </c>
      <c r="B18" s="96" t="s">
        <v>60</v>
      </c>
      <c r="C18" s="124" t="s">
        <v>203</v>
      </c>
      <c r="D18" s="96" t="s">
        <v>54</v>
      </c>
      <c r="E18" s="96" t="s">
        <v>81</v>
      </c>
      <c r="F18" s="120">
        <v>42885</v>
      </c>
      <c r="G18" s="120">
        <v>19129</v>
      </c>
      <c r="H18" s="120">
        <v>42147</v>
      </c>
      <c r="I18" s="96" t="s">
        <v>22</v>
      </c>
      <c r="J18" s="96" t="s">
        <v>72</v>
      </c>
      <c r="K18" s="134"/>
      <c r="L18" s="134">
        <v>100</v>
      </c>
      <c r="M18" s="126">
        <f>IF(StaffInfo[[#This Row],[Part/Full]]="F",(StaffInfo[[#This Row],[Basic Pay]]*12)/(52*44),(StaffInfo[[#This Row],[Day Rate]]/$H$1))</f>
        <v>8.3333333333333339</v>
      </c>
      <c r="N18" s="123">
        <f ca="1">YEARFRAC(StaffInfo[[#This Row],[Date of Birth]],TODAY(),1)</f>
        <v>66.088305001634524</v>
      </c>
      <c r="O18" s="123">
        <f ca="1">IF(StaffInfo[[#This Row],[Start date of PR]]="", "NA", YEARFRAC(StaffInfo[[#This Row],[Start date of PR]],TODAY(),1))</f>
        <v>1.0493150684931507</v>
      </c>
      <c r="P18" s="123">
        <f ca="1">YEARFRAC(StaffInfo[[#This Row],[Date employed]],TODAY(),1)</f>
        <v>3.0691307323750854</v>
      </c>
      <c r="Q18" s="96">
        <f>IF(StaffInfo[[#This Row],[Part/Full]]="F",IF(StaffInfo[[#This Row],[Years in co]]&gt;10,18,IF(StaffInfo[[#This Row],[Years in co]]&gt;7,17,IF(StaffInfo[[#This Row],[Years in co]]&gt;5,16,IF(StaffInfo[[#This Row],[Years in co]]&gt;3,15,14)))),0)</f>
        <v>0</v>
      </c>
    </row>
    <row r="19" spans="1:17" x14ac:dyDescent="0.35">
      <c r="A19" s="2" t="s">
        <v>110</v>
      </c>
      <c r="B19" s="96" t="s">
        <v>61</v>
      </c>
      <c r="C19" s="124" t="s">
        <v>204</v>
      </c>
      <c r="D19" s="96" t="s">
        <v>54</v>
      </c>
      <c r="E19" s="96" t="s">
        <v>81</v>
      </c>
      <c r="F19" s="120">
        <v>42886</v>
      </c>
      <c r="G19" s="120">
        <v>19130</v>
      </c>
      <c r="H19" s="120">
        <v>42148</v>
      </c>
      <c r="I19" s="96" t="s">
        <v>22</v>
      </c>
      <c r="J19" s="96" t="s">
        <v>72</v>
      </c>
      <c r="K19" s="134"/>
      <c r="L19" s="134">
        <v>100</v>
      </c>
      <c r="M19" s="126">
        <f>IF(StaffInfo[[#This Row],[Part/Full]]="F",(StaffInfo[[#This Row],[Basic Pay]]*12)/(52*44),(StaffInfo[[#This Row],[Day Rate]]/$H$1))</f>
        <v>8.3333333333333339</v>
      </c>
      <c r="N19" s="123">
        <f ca="1">YEARFRAC(StaffInfo[[#This Row],[Date of Birth]],TODAY(),1)</f>
        <v>66.085567178816603</v>
      </c>
      <c r="O19" s="123">
        <f ca="1">IF(StaffInfo[[#This Row],[Start date of PR]]="", "NA", YEARFRAC(StaffInfo[[#This Row],[Start date of PR]],TODAY(),1))</f>
        <v>1.0465753424657533</v>
      </c>
      <c r="P19" s="123">
        <f ca="1">YEARFRAC(StaffInfo[[#This Row],[Date employed]],TODAY(),1)</f>
        <v>3.0663928815879533</v>
      </c>
      <c r="Q19" s="96">
        <f>IF(StaffInfo[[#This Row],[Part/Full]]="F",IF(StaffInfo[[#This Row],[Years in co]]&gt;10,18,IF(StaffInfo[[#This Row],[Years in co]]&gt;7,17,IF(StaffInfo[[#This Row],[Years in co]]&gt;5,16,IF(StaffInfo[[#This Row],[Years in co]]&gt;3,15,14)))),0)</f>
        <v>0</v>
      </c>
    </row>
    <row r="20" spans="1:17" x14ac:dyDescent="0.35">
      <c r="A20" s="2" t="s">
        <v>110</v>
      </c>
      <c r="B20" s="96" t="s">
        <v>71</v>
      </c>
      <c r="C20" s="124" t="s">
        <v>205</v>
      </c>
      <c r="D20" s="96" t="s">
        <v>53</v>
      </c>
      <c r="E20" s="96" t="s">
        <v>81</v>
      </c>
      <c r="F20" s="120">
        <v>42887</v>
      </c>
      <c r="G20" s="120">
        <v>19095</v>
      </c>
      <c r="H20" s="120">
        <v>42149</v>
      </c>
      <c r="I20" s="96" t="s">
        <v>24</v>
      </c>
      <c r="J20" s="96" t="s">
        <v>72</v>
      </c>
      <c r="K20" s="134"/>
      <c r="L20" s="134">
        <v>110</v>
      </c>
      <c r="M20" s="134">
        <f>IF(StaffInfo[[#This Row],[Part/Full]]="F",(StaffInfo[[#This Row],[Basic Pay]]*12)/(52*44),(StaffInfo[[#This Row],[Day Rate]]/$H$1))</f>
        <v>9.1666666666666661</v>
      </c>
      <c r="N20" s="123">
        <f ca="1">YEARFRAC(StaffInfo[[#This Row],[Date of Birth]],TODAY(),1)</f>
        <v>66.181390977443613</v>
      </c>
      <c r="O20" s="123">
        <f ca="1">IF(StaffInfo[[#This Row],[Start date of PR]]="", "NA", YEARFRAC(StaffInfo[[#This Row],[Start date of PR]],TODAY(),1))</f>
        <v>1.0438356164383562</v>
      </c>
      <c r="P20" s="123">
        <f ca="1">YEARFRAC(StaffInfo[[#This Row],[Date employed]],TODAY(),1)</f>
        <v>3.0636550308008212</v>
      </c>
      <c r="Q20" s="96">
        <f>IF(StaffInfo[[#This Row],[Part/Full]]="F",IF(StaffInfo[[#This Row],[Years in co]]&gt;10,18,IF(StaffInfo[[#This Row],[Years in co]]&gt;7,17,IF(StaffInfo[[#This Row],[Years in co]]&gt;5,16,IF(StaffInfo[[#This Row],[Years in co]]&gt;3,15,14)))),0)</f>
        <v>0</v>
      </c>
    </row>
    <row r="21" spans="1:17" x14ac:dyDescent="0.35">
      <c r="A21" s="2" t="s">
        <v>110</v>
      </c>
      <c r="B21" s="96" t="s">
        <v>73</v>
      </c>
      <c r="C21" s="124" t="s">
        <v>206</v>
      </c>
      <c r="D21" s="96" t="s">
        <v>54</v>
      </c>
      <c r="E21" s="96" t="s">
        <v>81</v>
      </c>
      <c r="F21" s="120">
        <v>42888</v>
      </c>
      <c r="G21" s="120">
        <v>18729</v>
      </c>
      <c r="H21" s="120">
        <v>42150</v>
      </c>
      <c r="I21" s="96" t="s">
        <v>24</v>
      </c>
      <c r="J21" s="96" t="s">
        <v>22</v>
      </c>
      <c r="K21" s="134">
        <v>1100</v>
      </c>
      <c r="L21" s="134"/>
      <c r="M21" s="134">
        <f>IF(StaffInfo[[#This Row],[Part/Full]]="F",(StaffInfo[[#This Row],[Basic Pay]]*12)/(52*44),(StaffInfo[[#This Row],[Day Rate]]/$H$1))</f>
        <v>5.7692307692307692</v>
      </c>
      <c r="N21" s="123">
        <f ca="1">YEARFRAC(StaffInfo[[#This Row],[Date of Birth]],TODAY(),1)</f>
        <v>67.184120465434631</v>
      </c>
      <c r="O21" s="123">
        <f ca="1">IF(StaffInfo[[#This Row],[Start date of PR]]="", "NA", YEARFRAC(StaffInfo[[#This Row],[Start date of PR]],TODAY(),1))</f>
        <v>1.0410958904109588</v>
      </c>
      <c r="P21" s="123">
        <f ca="1">YEARFRAC(StaffInfo[[#This Row],[Date employed]],TODAY(),1)</f>
        <v>3.0609171800136892</v>
      </c>
      <c r="Q21" s="96">
        <f ca="1">IF(StaffInfo[[#This Row],[Part/Full]]="F",IF(StaffInfo[[#This Row],[Years in co]]&gt;10,18,IF(StaffInfo[[#This Row],[Years in co]]&gt;7,17,IF(StaffInfo[[#This Row],[Years in co]]&gt;5,16,IF(StaffInfo[[#This Row],[Years in co]]&gt;3,15,14)))),0)</f>
        <v>15</v>
      </c>
    </row>
    <row r="22" spans="1:17" x14ac:dyDescent="0.35">
      <c r="A22" s="165" t="s">
        <v>111</v>
      </c>
      <c r="B22" s="96" t="s">
        <v>44</v>
      </c>
      <c r="C22" s="124" t="s">
        <v>207</v>
      </c>
      <c r="D22" s="96" t="s">
        <v>55</v>
      </c>
      <c r="E22" s="96" t="s">
        <v>81</v>
      </c>
      <c r="F22" s="120">
        <v>42535</v>
      </c>
      <c r="G22" s="120">
        <v>24230</v>
      </c>
      <c r="H22" s="120">
        <v>40678</v>
      </c>
      <c r="I22" s="96" t="s">
        <v>22</v>
      </c>
      <c r="J22" s="96" t="s">
        <v>72</v>
      </c>
      <c r="K22" s="134"/>
      <c r="L22" s="134">
        <v>130</v>
      </c>
      <c r="M22" s="126">
        <f>IF(StaffInfo[[#This Row],[Part/Full]]="F",(StaffInfo[[#This Row],[Basic Pay]]*12)/(52*44),(StaffInfo[[#This Row],[Day Rate]]/$H$1))</f>
        <v>10.833333333333334</v>
      </c>
      <c r="N22" s="123">
        <f ca="1">YEARFRAC(StaffInfo[[#This Row],[Date of Birth]],TODAY(),1)</f>
        <v>52.123876433515854</v>
      </c>
      <c r="O22" s="123">
        <f ca="1">IF(StaffInfo[[#This Row],[Start date of PR]]="", "NA", YEARFRAC(StaffInfo[[#This Row],[Start date of PR]],TODAY(),1))</f>
        <v>2.0063868613138687</v>
      </c>
      <c r="P22" s="123">
        <f ca="1">YEARFRAC(StaffInfo[[#This Row],[Date employed]],TODAY(),1)</f>
        <v>7.0910335386721428</v>
      </c>
      <c r="Q22" s="96">
        <f>IF(StaffInfo[[#This Row],[Part/Full]]="F",IF(StaffInfo[[#This Row],[Years in co]]&gt;10,18,IF(StaffInfo[[#This Row],[Years in co]]&gt;7,17,IF(StaffInfo[[#This Row],[Years in co]]&gt;5,16,IF(StaffInfo[[#This Row],[Years in co]]&gt;3,15,14)))),0)</f>
        <v>0</v>
      </c>
    </row>
    <row r="23" spans="1:17" x14ac:dyDescent="0.35">
      <c r="A23" s="165" t="s">
        <v>111</v>
      </c>
      <c r="B23" s="96" t="s">
        <v>45</v>
      </c>
      <c r="C23" s="124" t="s">
        <v>208</v>
      </c>
      <c r="D23" s="96" t="s">
        <v>56</v>
      </c>
      <c r="E23" s="96" t="s">
        <v>81</v>
      </c>
      <c r="F23" s="120">
        <v>42535</v>
      </c>
      <c r="G23" s="120">
        <v>24596</v>
      </c>
      <c r="H23" s="120">
        <v>40679</v>
      </c>
      <c r="I23" s="96" t="s">
        <v>24</v>
      </c>
      <c r="J23" s="96" t="s">
        <v>72</v>
      </c>
      <c r="K23" s="134"/>
      <c r="L23" s="134">
        <v>130</v>
      </c>
      <c r="M23" s="126">
        <f>IF(StaffInfo[[#This Row],[Part/Full]]="F",(StaffInfo[[#This Row],[Basic Pay]]*12)/(52*44),(StaffInfo[[#This Row],[Day Rate]]/$H$1))</f>
        <v>10.833333333333334</v>
      </c>
      <c r="N23" s="123">
        <f ca="1">YEARFRAC(StaffInfo[[#This Row],[Date of Birth]],TODAY(),1)</f>
        <v>51.121149897330596</v>
      </c>
      <c r="O23" s="123">
        <f ca="1">IF(StaffInfo[[#This Row],[Start date of PR]]="", "NA", YEARFRAC(StaffInfo[[#This Row],[Start date of PR]],TODAY(),1))</f>
        <v>2.0063868613138687</v>
      </c>
      <c r="P23" s="123">
        <f ca="1">YEARFRAC(StaffInfo[[#This Row],[Date employed]],TODAY(),1)</f>
        <v>7.0882956878850099</v>
      </c>
      <c r="Q23" s="96">
        <f>IF(StaffInfo[[#This Row],[Part/Full]]="F",IF(StaffInfo[[#This Row],[Years in co]]&gt;10,18,IF(StaffInfo[[#This Row],[Years in co]]&gt;7,17,IF(StaffInfo[[#This Row],[Years in co]]&gt;5,16,IF(StaffInfo[[#This Row],[Years in co]]&gt;3,15,14)))),0)</f>
        <v>0</v>
      </c>
    </row>
    <row r="24" spans="1:17" x14ac:dyDescent="0.35">
      <c r="A24" s="165" t="s">
        <v>111</v>
      </c>
      <c r="B24" s="96" t="s">
        <v>46</v>
      </c>
      <c r="C24" s="124" t="s">
        <v>209</v>
      </c>
      <c r="D24" s="96" t="s">
        <v>56</v>
      </c>
      <c r="E24" s="96" t="s">
        <v>81</v>
      </c>
      <c r="F24" s="120">
        <v>42526</v>
      </c>
      <c r="G24" s="120">
        <v>24597</v>
      </c>
      <c r="H24" s="120">
        <v>41409</v>
      </c>
      <c r="I24" s="96" t="s">
        <v>24</v>
      </c>
      <c r="J24" s="96" t="s">
        <v>72</v>
      </c>
      <c r="K24" s="134"/>
      <c r="L24" s="134">
        <v>120</v>
      </c>
      <c r="M24" s="126">
        <f>IF(StaffInfo[[#This Row],[Part/Full]]="F",(StaffInfo[[#This Row],[Basic Pay]]*12)/(52*44),(StaffInfo[[#This Row],[Day Rate]]/$H$1))</f>
        <v>10</v>
      </c>
      <c r="N24" s="123">
        <f ca="1">YEARFRAC(StaffInfo[[#This Row],[Date of Birth]],TODAY(),1)</f>
        <v>51.118412046543462</v>
      </c>
      <c r="O24" s="123">
        <f ca="1">IF(StaffInfo[[#This Row],[Start date of PR]]="", "NA", YEARFRAC(StaffInfo[[#This Row],[Start date of PR]],TODAY(),1))</f>
        <v>2.031021897810219</v>
      </c>
      <c r="P24" s="123">
        <f ca="1">YEARFRAC(StaffInfo[[#This Row],[Date employed]],TODAY(),1)</f>
        <v>5.0908261068005478</v>
      </c>
      <c r="Q24" s="96">
        <f>IF(StaffInfo[[#This Row],[Part/Full]]="F",IF(StaffInfo[[#This Row],[Years in co]]&gt;10,18,IF(StaffInfo[[#This Row],[Years in co]]&gt;7,17,IF(StaffInfo[[#This Row],[Years in co]]&gt;5,16,IF(StaffInfo[[#This Row],[Years in co]]&gt;3,15,14)))),0)</f>
        <v>0</v>
      </c>
    </row>
    <row r="25" spans="1:17" x14ac:dyDescent="0.35">
      <c r="A25" s="165" t="s">
        <v>111</v>
      </c>
      <c r="B25" s="96" t="s">
        <v>49</v>
      </c>
      <c r="C25" s="124" t="s">
        <v>210</v>
      </c>
      <c r="D25" s="96" t="s">
        <v>54</v>
      </c>
      <c r="E25" s="96" t="s">
        <v>81</v>
      </c>
      <c r="F25" s="120">
        <v>42535</v>
      </c>
      <c r="G25" s="120">
        <v>24598</v>
      </c>
      <c r="H25" s="120">
        <v>41410</v>
      </c>
      <c r="I25" s="96" t="s">
        <v>24</v>
      </c>
      <c r="J25" s="96" t="s">
        <v>22</v>
      </c>
      <c r="K25" s="134">
        <v>1100</v>
      </c>
      <c r="L25" s="134"/>
      <c r="M25" s="126">
        <f>IF(StaffInfo[[#This Row],[Part/Full]]="F",(StaffInfo[[#This Row],[Basic Pay]]*12)/(52*44),(StaffInfo[[#This Row],[Day Rate]]/$H$1))</f>
        <v>5.7692307692307692</v>
      </c>
      <c r="N25" s="123">
        <f ca="1">YEARFRAC(StaffInfo[[#This Row],[Date of Birth]],TODAY(),1)</f>
        <v>51.115674195756334</v>
      </c>
      <c r="O25" s="123">
        <f ca="1">IF(StaffInfo[[#This Row],[Start date of PR]]="", "NA", YEARFRAC(StaffInfo[[#This Row],[Start date of PR]],TODAY(),1))</f>
        <v>2.0063868613138687</v>
      </c>
      <c r="P25" s="123">
        <f ca="1">YEARFRAC(StaffInfo[[#This Row],[Date employed]],TODAY(),1)</f>
        <v>5.0880876312186212</v>
      </c>
      <c r="Q25" s="96">
        <f ca="1">IF(StaffInfo[[#This Row],[Part/Full]]="F",IF(StaffInfo[[#This Row],[Years in co]]&gt;10,18,IF(StaffInfo[[#This Row],[Years in co]]&gt;7,17,IF(StaffInfo[[#This Row],[Years in co]]&gt;5,16,IF(StaffInfo[[#This Row],[Years in co]]&gt;3,15,14)))),0)</f>
        <v>16</v>
      </c>
    </row>
    <row r="26" spans="1:17" x14ac:dyDescent="0.35">
      <c r="A26" s="2" t="s">
        <v>111</v>
      </c>
      <c r="B26" s="96" t="s">
        <v>50</v>
      </c>
      <c r="C26" s="124" t="s">
        <v>211</v>
      </c>
      <c r="D26" s="96" t="s">
        <v>54</v>
      </c>
      <c r="E26" s="96" t="s">
        <v>81</v>
      </c>
      <c r="F26" s="120">
        <v>42506</v>
      </c>
      <c r="G26" s="120">
        <v>22773</v>
      </c>
      <c r="H26" s="120">
        <v>42139</v>
      </c>
      <c r="I26" s="96" t="s">
        <v>22</v>
      </c>
      <c r="J26" s="96" t="s">
        <v>72</v>
      </c>
      <c r="K26" s="134"/>
      <c r="L26" s="134">
        <v>100</v>
      </c>
      <c r="M26" s="126">
        <f>IF(StaffInfo[[#This Row],[Part/Full]]="F",(StaffInfo[[#This Row],[Basic Pay]]*12)/(52*44),(StaffInfo[[#This Row],[Day Rate]]/$H$1))</f>
        <v>8.3333333333333339</v>
      </c>
      <c r="N26" s="123">
        <f ca="1">YEARFRAC(StaffInfo[[#This Row],[Date of Birth]],TODAY(),1)</f>
        <v>56.112925692876701</v>
      </c>
      <c r="O26" s="123">
        <f ca="1">IF(StaffInfo[[#This Row],[Start date of PR]]="", "NA", YEARFRAC(StaffInfo[[#This Row],[Start date of PR]],TODAY(),1))</f>
        <v>2.0857664233576645</v>
      </c>
      <c r="P26" s="123">
        <f ca="1">YEARFRAC(StaffInfo[[#This Row],[Date employed]],TODAY(),1)</f>
        <v>3.0910335386721424</v>
      </c>
      <c r="Q26" s="96">
        <f>IF(StaffInfo[[#This Row],[Part/Full]]="F",IF(StaffInfo[[#This Row],[Years in co]]&gt;10,18,IF(StaffInfo[[#This Row],[Years in co]]&gt;7,17,IF(StaffInfo[[#This Row],[Years in co]]&gt;5,16,IF(StaffInfo[[#This Row],[Years in co]]&gt;3,15,14)))),0)</f>
        <v>0</v>
      </c>
    </row>
    <row r="27" spans="1:17" x14ac:dyDescent="0.35">
      <c r="A27" s="2" t="s">
        <v>111</v>
      </c>
      <c r="B27" s="96" t="s">
        <v>51</v>
      </c>
      <c r="C27" s="124" t="s">
        <v>212</v>
      </c>
      <c r="D27" s="96" t="s">
        <v>54</v>
      </c>
      <c r="E27" s="96" t="s">
        <v>81</v>
      </c>
      <c r="F27" s="120">
        <v>42507</v>
      </c>
      <c r="G27" s="120">
        <v>22774</v>
      </c>
      <c r="H27" s="120">
        <v>42140</v>
      </c>
      <c r="I27" s="96" t="s">
        <v>24</v>
      </c>
      <c r="J27" s="96" t="s">
        <v>72</v>
      </c>
      <c r="K27" s="134"/>
      <c r="L27" s="134">
        <v>100</v>
      </c>
      <c r="M27" s="126">
        <f>IF(StaffInfo[[#This Row],[Part/Full]]="F",(StaffInfo[[#This Row],[Basic Pay]]*12)/(52*44),(StaffInfo[[#This Row],[Day Rate]]/$H$1))</f>
        <v>8.3333333333333339</v>
      </c>
      <c r="N27" s="123">
        <f ca="1">YEARFRAC(StaffInfo[[#This Row],[Date of Birth]],TODAY(),1)</f>
        <v>56.110187809212739</v>
      </c>
      <c r="O27" s="123">
        <f ca="1">IF(StaffInfo[[#This Row],[Start date of PR]]="", "NA", YEARFRAC(StaffInfo[[#This Row],[Start date of PR]],TODAY(),1))</f>
        <v>2.0830291970802919</v>
      </c>
      <c r="P27" s="123">
        <f ca="1">YEARFRAC(StaffInfo[[#This Row],[Date employed]],TODAY(),1)</f>
        <v>3.0882956878850103</v>
      </c>
      <c r="Q27" s="96">
        <f>IF(StaffInfo[[#This Row],[Part/Full]]="F",IF(StaffInfo[[#This Row],[Years in co]]&gt;10,18,IF(StaffInfo[[#This Row],[Years in co]]&gt;7,17,IF(StaffInfo[[#This Row],[Years in co]]&gt;5,16,IF(StaffInfo[[#This Row],[Years in co]]&gt;3,15,14)))),0)</f>
        <v>0</v>
      </c>
    </row>
    <row r="28" spans="1:17" x14ac:dyDescent="0.35">
      <c r="A28" s="2" t="s">
        <v>111</v>
      </c>
      <c r="B28" s="96" t="s">
        <v>52</v>
      </c>
      <c r="C28" s="124" t="s">
        <v>213</v>
      </c>
      <c r="D28" s="96" t="s">
        <v>53</v>
      </c>
      <c r="E28" s="96" t="s">
        <v>81</v>
      </c>
      <c r="F28" s="120">
        <v>42508</v>
      </c>
      <c r="G28" s="120">
        <v>22410</v>
      </c>
      <c r="H28" s="120">
        <v>42141</v>
      </c>
      <c r="I28" s="96" t="s">
        <v>24</v>
      </c>
      <c r="J28" s="96" t="s">
        <v>72</v>
      </c>
      <c r="K28" s="134"/>
      <c r="L28" s="134">
        <v>110</v>
      </c>
      <c r="M28" s="126">
        <f>IF(StaffInfo[[#This Row],[Part/Full]]="F",(StaffInfo[[#This Row],[Basic Pay]]*12)/(52*44),(StaffInfo[[#This Row],[Day Rate]]/$H$1))</f>
        <v>9.1666666666666661</v>
      </c>
      <c r="N28" s="123">
        <f ca="1">YEARFRAC(StaffInfo[[#This Row],[Date of Birth]],TODAY(),1)</f>
        <v>57.107439577039273</v>
      </c>
      <c r="O28" s="123">
        <f ca="1">IF(StaffInfo[[#This Row],[Start date of PR]]="", "NA", YEARFRAC(StaffInfo[[#This Row],[Start date of PR]],TODAY(),1))</f>
        <v>2.0802919708029197</v>
      </c>
      <c r="P28" s="123">
        <f ca="1">YEARFRAC(StaffInfo[[#This Row],[Date employed]],TODAY(),1)</f>
        <v>3.0855578370978782</v>
      </c>
      <c r="Q28" s="96">
        <f>IF(StaffInfo[[#This Row],[Part/Full]]="F",IF(StaffInfo[[#This Row],[Years in co]]&gt;10,18,IF(StaffInfo[[#This Row],[Years in co]]&gt;7,17,IF(StaffInfo[[#This Row],[Years in co]]&gt;5,16,IF(StaffInfo[[#This Row],[Years in co]]&gt;3,15,14)))),0)</f>
        <v>0</v>
      </c>
    </row>
    <row r="29" spans="1:17" x14ac:dyDescent="0.35">
      <c r="A29" s="2" t="s">
        <v>111</v>
      </c>
      <c r="B29" s="96" t="s">
        <v>58</v>
      </c>
      <c r="C29" s="124" t="s">
        <v>214</v>
      </c>
      <c r="D29" s="96" t="s">
        <v>55</v>
      </c>
      <c r="E29" s="96" t="s">
        <v>81</v>
      </c>
      <c r="F29" s="120">
        <v>42509</v>
      </c>
      <c r="G29" s="120">
        <v>22411</v>
      </c>
      <c r="H29" s="120">
        <v>42142</v>
      </c>
      <c r="I29" s="96" t="s">
        <v>24</v>
      </c>
      <c r="J29" s="96" t="s">
        <v>22</v>
      </c>
      <c r="K29" s="134">
        <v>1700</v>
      </c>
      <c r="L29" s="134"/>
      <c r="M29" s="126">
        <f>IF(StaffInfo[[#This Row],[Part/Full]]="F",(StaffInfo[[#This Row],[Basic Pay]]*12)/(52*44),(StaffInfo[[#This Row],[Day Rate]]/$H$1))</f>
        <v>8.9160839160839167</v>
      </c>
      <c r="N29" s="123">
        <f ca="1">YEARFRAC(StaffInfo[[#This Row],[Date of Birth]],TODAY(),1)</f>
        <v>57.104701661631417</v>
      </c>
      <c r="O29" s="123">
        <f ca="1">IF(StaffInfo[[#This Row],[Start date of PR]]="", "NA", YEARFRAC(StaffInfo[[#This Row],[Start date of PR]],TODAY(),1))</f>
        <v>2.0775547445255476</v>
      </c>
      <c r="P29" s="123">
        <f ca="1">YEARFRAC(StaffInfo[[#This Row],[Date employed]],TODAY(),1)</f>
        <v>3.0828199863107462</v>
      </c>
      <c r="Q29" s="96">
        <f ca="1">IF(StaffInfo[[#This Row],[Part/Full]]="F",IF(StaffInfo[[#This Row],[Years in co]]&gt;10,18,IF(StaffInfo[[#This Row],[Years in co]]&gt;7,17,IF(StaffInfo[[#This Row],[Years in co]]&gt;5,16,IF(StaffInfo[[#This Row],[Years in co]]&gt;3,15,14)))),0)</f>
        <v>15</v>
      </c>
    </row>
    <row r="30" spans="1:17" x14ac:dyDescent="0.35">
      <c r="A30" s="165" t="s">
        <v>111</v>
      </c>
      <c r="B30" s="96" t="s">
        <v>65</v>
      </c>
      <c r="C30" s="124" t="s">
        <v>215</v>
      </c>
      <c r="D30" s="96" t="s">
        <v>53</v>
      </c>
      <c r="E30" s="96" t="s">
        <v>81</v>
      </c>
      <c r="F30" s="120">
        <v>42516</v>
      </c>
      <c r="G30" s="120">
        <v>20951</v>
      </c>
      <c r="H30" s="120">
        <v>42143</v>
      </c>
      <c r="I30" s="96" t="s">
        <v>24</v>
      </c>
      <c r="J30" s="96" t="s">
        <v>72</v>
      </c>
      <c r="K30" s="134"/>
      <c r="L30" s="134">
        <v>110</v>
      </c>
      <c r="M30" s="126">
        <f>IF(StaffInfo[[#This Row],[Part/Full]]="F",(StaffInfo[[#This Row],[Basic Pay]]*12)/(52*44),(StaffInfo[[#This Row],[Day Rate]]/$H$1))</f>
        <v>9.1666666666666661</v>
      </c>
      <c r="N30" s="123">
        <f ca="1">YEARFRAC(StaffInfo[[#This Row],[Date of Birth]],TODAY(),1)</f>
        <v>61.101965113711636</v>
      </c>
      <c r="O30" s="123">
        <f ca="1">IF(StaffInfo[[#This Row],[Start date of PR]]="", "NA", YEARFRAC(StaffInfo[[#This Row],[Start date of PR]],TODAY(),1))</f>
        <v>2.0583941605839415</v>
      </c>
      <c r="P30" s="123">
        <f ca="1">YEARFRAC(StaffInfo[[#This Row],[Date employed]],TODAY(),1)</f>
        <v>3.0800821355236141</v>
      </c>
      <c r="Q30" s="96">
        <f>IF(StaffInfo[[#This Row],[Part/Full]]="F",IF(StaffInfo[[#This Row],[Years in co]]&gt;10,18,IF(StaffInfo[[#This Row],[Years in co]]&gt;7,17,IF(StaffInfo[[#This Row],[Years in co]]&gt;5,16,IF(StaffInfo[[#This Row],[Years in co]]&gt;3,15,14)))),0)</f>
        <v>0</v>
      </c>
    </row>
    <row r="31" spans="1:17" x14ac:dyDescent="0.35">
      <c r="A31" s="165" t="s">
        <v>111</v>
      </c>
      <c r="B31" s="96" t="s">
        <v>59</v>
      </c>
      <c r="C31" s="124" t="s">
        <v>216</v>
      </c>
      <c r="D31" s="96" t="s">
        <v>54</v>
      </c>
      <c r="E31" s="96" t="s">
        <v>81</v>
      </c>
      <c r="F31" s="120">
        <v>42517</v>
      </c>
      <c r="G31" s="120">
        <v>20962</v>
      </c>
      <c r="H31" s="120">
        <v>42144</v>
      </c>
      <c r="I31" s="96" t="s">
        <v>22</v>
      </c>
      <c r="J31" s="96" t="s">
        <v>72</v>
      </c>
      <c r="K31" s="134"/>
      <c r="L31" s="134">
        <v>100</v>
      </c>
      <c r="M31" s="126">
        <f>IF(StaffInfo[[#This Row],[Part/Full]]="F",(StaffInfo[[#This Row],[Basic Pay]]*12)/(52*44),(StaffInfo[[#This Row],[Day Rate]]/$H$1))</f>
        <v>8.3333333333333339</v>
      </c>
      <c r="N31" s="123">
        <f ca="1">YEARFRAC(StaffInfo[[#This Row],[Date of Birth]],TODAY(),1)</f>
        <v>61.071848090086114</v>
      </c>
      <c r="O31" s="123">
        <f ca="1">IF(StaffInfo[[#This Row],[Start date of PR]]="", "NA", YEARFRAC(StaffInfo[[#This Row],[Start date of PR]],TODAY(),1))</f>
        <v>2.0556569343065694</v>
      </c>
      <c r="P31" s="123">
        <f ca="1">YEARFRAC(StaffInfo[[#This Row],[Date employed]],TODAY(),1)</f>
        <v>3.077344284736482</v>
      </c>
      <c r="Q31" s="96">
        <f>IF(StaffInfo[[#This Row],[Part/Full]]="F",IF(StaffInfo[[#This Row],[Years in co]]&gt;10,18,IF(StaffInfo[[#This Row],[Years in co]]&gt;7,17,IF(StaffInfo[[#This Row],[Years in co]]&gt;5,16,IF(StaffInfo[[#This Row],[Years in co]]&gt;3,15,14)))),0)</f>
        <v>0</v>
      </c>
    </row>
    <row r="32" spans="1:17" x14ac:dyDescent="0.35">
      <c r="A32" s="165" t="s">
        <v>111</v>
      </c>
      <c r="B32" s="96" t="s">
        <v>63</v>
      </c>
      <c r="C32" s="124" t="s">
        <v>217</v>
      </c>
      <c r="D32" s="96" t="s">
        <v>53</v>
      </c>
      <c r="E32" s="96" t="s">
        <v>81</v>
      </c>
      <c r="F32" s="120">
        <v>42518</v>
      </c>
      <c r="G32" s="120">
        <v>20597</v>
      </c>
      <c r="H32" s="120">
        <v>42145</v>
      </c>
      <c r="I32" s="96" t="s">
        <v>22</v>
      </c>
      <c r="J32" s="96" t="s">
        <v>72</v>
      </c>
      <c r="K32" s="134"/>
      <c r="L32" s="134">
        <v>110</v>
      </c>
      <c r="M32" s="126">
        <f>IF(StaffInfo[[#This Row],[Part/Full]]="F",(StaffInfo[[#This Row],[Basic Pay]]*12)/(52*44),(StaffInfo[[#This Row],[Day Rate]]/$H$1))</f>
        <v>9.1666666666666661</v>
      </c>
      <c r="N32" s="123">
        <f ca="1">YEARFRAC(StaffInfo[[#This Row],[Date of Birth]],TODAY(),1)</f>
        <v>62.069140845682497</v>
      </c>
      <c r="O32" s="123">
        <f ca="1">IF(StaffInfo[[#This Row],[Start date of PR]]="", "NA", YEARFRAC(StaffInfo[[#This Row],[Start date of PR]],TODAY(),1))</f>
        <v>2.0529197080291972</v>
      </c>
      <c r="P32" s="123">
        <f ca="1">YEARFRAC(StaffInfo[[#This Row],[Date employed]],TODAY(),1)</f>
        <v>3.07460643394935</v>
      </c>
      <c r="Q32" s="96">
        <f>IF(StaffInfo[[#This Row],[Part/Full]]="F",IF(StaffInfo[[#This Row],[Years in co]]&gt;10,18,IF(StaffInfo[[#This Row],[Years in co]]&gt;7,17,IF(StaffInfo[[#This Row],[Years in co]]&gt;5,16,IF(StaffInfo[[#This Row],[Years in co]]&gt;3,15,14)))),0)</f>
        <v>0</v>
      </c>
    </row>
    <row r="33" spans="1:17" x14ac:dyDescent="0.35">
      <c r="A33" s="165" t="s">
        <v>111</v>
      </c>
      <c r="B33" s="96" t="s">
        <v>64</v>
      </c>
      <c r="C33" s="124" t="s">
        <v>218</v>
      </c>
      <c r="D33" s="96" t="s">
        <v>55</v>
      </c>
      <c r="E33" s="96" t="s">
        <v>81</v>
      </c>
      <c r="F33" s="120">
        <v>42519</v>
      </c>
      <c r="G33" s="120">
        <v>20589</v>
      </c>
      <c r="H33" s="120">
        <v>42146</v>
      </c>
      <c r="I33" s="96" t="s">
        <v>24</v>
      </c>
      <c r="J33" s="96" t="s">
        <v>22</v>
      </c>
      <c r="K33" s="134">
        <v>1700</v>
      </c>
      <c r="L33" s="134"/>
      <c r="M33" s="126">
        <f>IF(StaffInfo[[#This Row],[Part/Full]]="F",(StaffInfo[[#This Row],[Basic Pay]]*12)/(52*44),(StaffInfo[[#This Row],[Day Rate]]/$H$1))</f>
        <v>8.9160839160839167</v>
      </c>
      <c r="N33" s="123">
        <f ca="1">YEARFRAC(StaffInfo[[#This Row],[Date of Birth]],TODAY(),1)</f>
        <v>62.091043414019381</v>
      </c>
      <c r="O33" s="123">
        <f ca="1">IF(StaffInfo[[#This Row],[Start date of PR]]="", "NA", YEARFRAC(StaffInfo[[#This Row],[Start date of PR]],TODAY(),1))</f>
        <v>2.050182481751825</v>
      </c>
      <c r="P33" s="123">
        <f ca="1">YEARFRAC(StaffInfo[[#This Row],[Date employed]],TODAY(),1)</f>
        <v>3.0718685831622174</v>
      </c>
      <c r="Q33" s="96">
        <f ca="1">IF(StaffInfo[[#This Row],[Part/Full]]="F",IF(StaffInfo[[#This Row],[Years in co]]&gt;10,18,IF(StaffInfo[[#This Row],[Years in co]]&gt;7,17,IF(StaffInfo[[#This Row],[Years in co]]&gt;5,16,IF(StaffInfo[[#This Row],[Years in co]]&gt;3,15,14)))),0)</f>
        <v>15</v>
      </c>
    </row>
    <row r="34" spans="1:17" x14ac:dyDescent="0.35">
      <c r="A34" s="2" t="s">
        <v>111</v>
      </c>
      <c r="B34" s="96" t="s">
        <v>60</v>
      </c>
      <c r="C34" s="124" t="s">
        <v>219</v>
      </c>
      <c r="D34" s="96" t="s">
        <v>54</v>
      </c>
      <c r="E34" s="96" t="s">
        <v>81</v>
      </c>
      <c r="F34" s="120">
        <v>42520</v>
      </c>
      <c r="G34" s="120">
        <v>19129</v>
      </c>
      <c r="H34" s="120">
        <v>42147</v>
      </c>
      <c r="I34" s="96" t="s">
        <v>22</v>
      </c>
      <c r="J34" s="96" t="s">
        <v>72</v>
      </c>
      <c r="K34" s="134"/>
      <c r="L34" s="134">
        <v>100</v>
      </c>
      <c r="M34" s="126">
        <f>IF(StaffInfo[[#This Row],[Part/Full]]="F",(StaffInfo[[#This Row],[Basic Pay]]*12)/(52*44),(StaffInfo[[#This Row],[Day Rate]]/$H$1))</f>
        <v>8.3333333333333339</v>
      </c>
      <c r="N34" s="123">
        <f ca="1">YEARFRAC(StaffInfo[[#This Row],[Date of Birth]],TODAY(),1)</f>
        <v>66.088305001634524</v>
      </c>
      <c r="O34" s="123">
        <f ca="1">IF(StaffInfo[[#This Row],[Start date of PR]]="", "NA", YEARFRAC(StaffInfo[[#This Row],[Start date of PR]],TODAY(),1))</f>
        <v>2.0474452554744524</v>
      </c>
      <c r="P34" s="123">
        <f ca="1">YEARFRAC(StaffInfo[[#This Row],[Date employed]],TODAY(),1)</f>
        <v>3.0691307323750854</v>
      </c>
      <c r="Q34" s="96">
        <f>IF(StaffInfo[[#This Row],[Part/Full]]="F",IF(StaffInfo[[#This Row],[Years in co]]&gt;10,18,IF(StaffInfo[[#This Row],[Years in co]]&gt;7,17,IF(StaffInfo[[#This Row],[Years in co]]&gt;5,16,IF(StaffInfo[[#This Row],[Years in co]]&gt;3,15,14)))),0)</f>
        <v>0</v>
      </c>
    </row>
    <row r="35" spans="1:17" x14ac:dyDescent="0.35">
      <c r="A35" s="2" t="s">
        <v>111</v>
      </c>
      <c r="B35" s="96" t="s">
        <v>61</v>
      </c>
      <c r="C35" s="124" t="s">
        <v>220</v>
      </c>
      <c r="D35" s="96" t="s">
        <v>54</v>
      </c>
      <c r="E35" s="96" t="s">
        <v>81</v>
      </c>
      <c r="F35" s="120">
        <v>42521</v>
      </c>
      <c r="G35" s="120">
        <v>19130</v>
      </c>
      <c r="H35" s="120">
        <v>42148</v>
      </c>
      <c r="I35" s="96" t="s">
        <v>22</v>
      </c>
      <c r="J35" s="96" t="s">
        <v>72</v>
      </c>
      <c r="K35" s="134"/>
      <c r="L35" s="134">
        <v>100</v>
      </c>
      <c r="M35" s="126">
        <f>IF(StaffInfo[[#This Row],[Part/Full]]="F",(StaffInfo[[#This Row],[Basic Pay]]*12)/(52*44),(StaffInfo[[#This Row],[Day Rate]]/$H$1))</f>
        <v>8.3333333333333339</v>
      </c>
      <c r="N35" s="123">
        <f ca="1">YEARFRAC(StaffInfo[[#This Row],[Date of Birth]],TODAY(),1)</f>
        <v>66.085567178816603</v>
      </c>
      <c r="O35" s="123">
        <f ca="1">IF(StaffInfo[[#This Row],[Start date of PR]]="", "NA", YEARFRAC(StaffInfo[[#This Row],[Start date of PR]],TODAY(),1))</f>
        <v>2.0447080291970803</v>
      </c>
      <c r="P35" s="123">
        <f ca="1">YEARFRAC(StaffInfo[[#This Row],[Date employed]],TODAY(),1)</f>
        <v>3.0663928815879533</v>
      </c>
      <c r="Q35" s="96">
        <f>IF(StaffInfo[[#This Row],[Part/Full]]="F",IF(StaffInfo[[#This Row],[Years in co]]&gt;10,18,IF(StaffInfo[[#This Row],[Years in co]]&gt;7,17,IF(StaffInfo[[#This Row],[Years in co]]&gt;5,16,IF(StaffInfo[[#This Row],[Years in co]]&gt;3,15,14)))),0)</f>
        <v>0</v>
      </c>
    </row>
    <row r="36" spans="1:17" x14ac:dyDescent="0.35">
      <c r="A36" s="2" t="s">
        <v>111</v>
      </c>
      <c r="B36" s="96" t="s">
        <v>71</v>
      </c>
      <c r="C36" s="124" t="s">
        <v>221</v>
      </c>
      <c r="D36" s="96" t="s">
        <v>53</v>
      </c>
      <c r="E36" s="96" t="s">
        <v>81</v>
      </c>
      <c r="F36" s="120">
        <v>42522</v>
      </c>
      <c r="G36" s="120">
        <v>19095</v>
      </c>
      <c r="H36" s="120">
        <v>42149</v>
      </c>
      <c r="I36" s="96" t="s">
        <v>24</v>
      </c>
      <c r="J36" s="96" t="s">
        <v>72</v>
      </c>
      <c r="K36" s="134"/>
      <c r="L36" s="134">
        <v>110</v>
      </c>
      <c r="M36" s="134">
        <f>IF(StaffInfo[[#This Row],[Part/Full]]="F",(StaffInfo[[#This Row],[Basic Pay]]*12)/(52*44),(StaffInfo[[#This Row],[Day Rate]]/$H$1))</f>
        <v>9.1666666666666661</v>
      </c>
      <c r="N36" s="123">
        <f ca="1">YEARFRAC(StaffInfo[[#This Row],[Date of Birth]],TODAY(),1)</f>
        <v>66.181390977443613</v>
      </c>
      <c r="O36" s="123">
        <f ca="1">IF(StaffInfo[[#This Row],[Start date of PR]]="", "NA", YEARFRAC(StaffInfo[[#This Row],[Start date of PR]],TODAY(),1))</f>
        <v>2.0419708029197081</v>
      </c>
      <c r="P36" s="123">
        <f ca="1">YEARFRAC(StaffInfo[[#This Row],[Date employed]],TODAY(),1)</f>
        <v>3.0636550308008212</v>
      </c>
      <c r="Q36" s="96">
        <f>IF(StaffInfo[[#This Row],[Part/Full]]="F",IF(StaffInfo[[#This Row],[Years in co]]&gt;10,18,IF(StaffInfo[[#This Row],[Years in co]]&gt;7,17,IF(StaffInfo[[#This Row],[Years in co]]&gt;5,16,IF(StaffInfo[[#This Row],[Years in co]]&gt;3,15,14)))),0)</f>
        <v>0</v>
      </c>
    </row>
    <row r="37" spans="1:17" x14ac:dyDescent="0.35">
      <c r="A37" s="2" t="s">
        <v>111</v>
      </c>
      <c r="B37" s="96" t="s">
        <v>73</v>
      </c>
      <c r="C37" s="124" t="s">
        <v>222</v>
      </c>
      <c r="D37" s="96" t="s">
        <v>54</v>
      </c>
      <c r="E37" s="96" t="s">
        <v>81</v>
      </c>
      <c r="F37" s="120">
        <v>42523</v>
      </c>
      <c r="G37" s="120">
        <v>18729</v>
      </c>
      <c r="H37" s="120">
        <v>42150</v>
      </c>
      <c r="I37" s="96" t="s">
        <v>24</v>
      </c>
      <c r="J37" s="96" t="s">
        <v>22</v>
      </c>
      <c r="K37" s="134">
        <v>1100</v>
      </c>
      <c r="L37" s="134"/>
      <c r="M37" s="134">
        <f>IF(StaffInfo[[#This Row],[Part/Full]]="F",(StaffInfo[[#This Row],[Basic Pay]]*12)/(52*44),(StaffInfo[[#This Row],[Day Rate]]/$H$1))</f>
        <v>5.7692307692307692</v>
      </c>
      <c r="N37" s="123">
        <f ca="1">YEARFRAC(StaffInfo[[#This Row],[Date of Birth]],TODAY(),1)</f>
        <v>67.184120465434631</v>
      </c>
      <c r="O37" s="123">
        <f ca="1">IF(StaffInfo[[#This Row],[Start date of PR]]="", "NA", YEARFRAC(StaffInfo[[#This Row],[Start date of PR]],TODAY(),1))</f>
        <v>2.039233576642336</v>
      </c>
      <c r="P37" s="123">
        <f ca="1">YEARFRAC(StaffInfo[[#This Row],[Date employed]],TODAY(),1)</f>
        <v>3.0609171800136892</v>
      </c>
      <c r="Q37" s="96">
        <f ca="1">IF(StaffInfo[[#This Row],[Part/Full]]="F",IF(StaffInfo[[#This Row],[Years in co]]&gt;10,18,IF(StaffInfo[[#This Row],[Years in co]]&gt;7,17,IF(StaffInfo[[#This Row],[Years in co]]&gt;5,16,IF(StaffInfo[[#This Row],[Years in co]]&gt;3,15,14)))),0)</f>
        <v>15</v>
      </c>
    </row>
    <row r="38" spans="1:17" x14ac:dyDescent="0.35">
      <c r="A38" s="166" t="s">
        <v>112</v>
      </c>
      <c r="B38" s="96" t="s">
        <v>44</v>
      </c>
      <c r="C38" s="124" t="s">
        <v>223</v>
      </c>
      <c r="D38" s="96" t="s">
        <v>55</v>
      </c>
      <c r="E38" s="96" t="s">
        <v>81</v>
      </c>
      <c r="F38" s="120">
        <v>42169</v>
      </c>
      <c r="G38" s="120">
        <v>24230</v>
      </c>
      <c r="H38" s="120">
        <v>40678</v>
      </c>
      <c r="I38" s="96" t="s">
        <v>22</v>
      </c>
      <c r="J38" s="96" t="s">
        <v>72</v>
      </c>
      <c r="K38" s="134"/>
      <c r="L38" s="134">
        <v>130</v>
      </c>
      <c r="M38" s="126">
        <f>IF(StaffInfo[[#This Row],[Part/Full]]="F",(StaffInfo[[#This Row],[Basic Pay]]*12)/(52*44),(StaffInfo[[#This Row],[Day Rate]]/$H$1))</f>
        <v>10.833333333333334</v>
      </c>
      <c r="N38" s="123">
        <f ca="1">YEARFRAC(StaffInfo[[#This Row],[Date of Birth]],TODAY(),1)</f>
        <v>52.123876433515854</v>
      </c>
      <c r="O38" s="123">
        <f ca="1">IF(StaffInfo[[#This Row],[Start date of PR]]="", "NA", YEARFRAC(StaffInfo[[#This Row],[Start date of PR]],TODAY(),1))</f>
        <v>3.0088980150581794</v>
      </c>
      <c r="P38" s="123">
        <f ca="1">YEARFRAC(StaffInfo[[#This Row],[Date employed]],TODAY(),1)</f>
        <v>7.0910335386721428</v>
      </c>
      <c r="Q38" s="96">
        <f>IF(StaffInfo[[#This Row],[Part/Full]]="F",IF(StaffInfo[[#This Row],[Years in co]]&gt;10,18,IF(StaffInfo[[#This Row],[Years in co]]&gt;7,17,IF(StaffInfo[[#This Row],[Years in co]]&gt;5,16,IF(StaffInfo[[#This Row],[Years in co]]&gt;3,15,14)))),0)</f>
        <v>0</v>
      </c>
    </row>
    <row r="39" spans="1:17" x14ac:dyDescent="0.35">
      <c r="A39" s="166" t="s">
        <v>112</v>
      </c>
      <c r="B39" s="96" t="s">
        <v>45</v>
      </c>
      <c r="C39" s="124" t="s">
        <v>224</v>
      </c>
      <c r="D39" s="96" t="s">
        <v>56</v>
      </c>
      <c r="E39" s="96" t="s">
        <v>81</v>
      </c>
      <c r="F39" s="120">
        <v>42169</v>
      </c>
      <c r="G39" s="120">
        <v>24596</v>
      </c>
      <c r="H39" s="120">
        <v>40679</v>
      </c>
      <c r="I39" s="96" t="s">
        <v>24</v>
      </c>
      <c r="J39" s="96" t="s">
        <v>72</v>
      </c>
      <c r="K39" s="134"/>
      <c r="L39" s="134">
        <v>130</v>
      </c>
      <c r="M39" s="126">
        <f>IF(StaffInfo[[#This Row],[Part/Full]]="F",(StaffInfo[[#This Row],[Basic Pay]]*12)/(52*44),(StaffInfo[[#This Row],[Day Rate]]/$H$1))</f>
        <v>10.833333333333334</v>
      </c>
      <c r="N39" s="123">
        <f ca="1">YEARFRAC(StaffInfo[[#This Row],[Date of Birth]],TODAY(),1)</f>
        <v>51.121149897330596</v>
      </c>
      <c r="O39" s="123">
        <f ca="1">IF(StaffInfo[[#This Row],[Start date of PR]]="", "NA", YEARFRAC(StaffInfo[[#This Row],[Start date of PR]],TODAY(),1))</f>
        <v>3.0088980150581794</v>
      </c>
      <c r="P39" s="123">
        <f ca="1">YEARFRAC(StaffInfo[[#This Row],[Date employed]],TODAY(),1)</f>
        <v>7.0882956878850099</v>
      </c>
      <c r="Q39" s="96">
        <f>IF(StaffInfo[[#This Row],[Part/Full]]="F",IF(StaffInfo[[#This Row],[Years in co]]&gt;10,18,IF(StaffInfo[[#This Row],[Years in co]]&gt;7,17,IF(StaffInfo[[#This Row],[Years in co]]&gt;5,16,IF(StaffInfo[[#This Row],[Years in co]]&gt;3,15,14)))),0)</f>
        <v>0</v>
      </c>
    </row>
    <row r="40" spans="1:17" x14ac:dyDescent="0.35">
      <c r="A40" s="166" t="s">
        <v>112</v>
      </c>
      <c r="B40" s="96" t="s">
        <v>46</v>
      </c>
      <c r="C40" s="124" t="s">
        <v>225</v>
      </c>
      <c r="D40" s="96" t="s">
        <v>56</v>
      </c>
      <c r="E40" s="96" t="s">
        <v>81</v>
      </c>
      <c r="F40" s="120">
        <v>42160</v>
      </c>
      <c r="G40" s="120">
        <v>24597</v>
      </c>
      <c r="H40" s="120">
        <v>41409</v>
      </c>
      <c r="I40" s="96" t="s">
        <v>24</v>
      </c>
      <c r="J40" s="96" t="s">
        <v>72</v>
      </c>
      <c r="K40" s="134"/>
      <c r="L40" s="134">
        <v>120</v>
      </c>
      <c r="M40" s="126">
        <f>IF(StaffInfo[[#This Row],[Part/Full]]="F",(StaffInfo[[#This Row],[Basic Pay]]*12)/(52*44),(StaffInfo[[#This Row],[Day Rate]]/$H$1))</f>
        <v>10</v>
      </c>
      <c r="N40" s="123">
        <f ca="1">YEARFRAC(StaffInfo[[#This Row],[Date of Birth]],TODAY(),1)</f>
        <v>51.118412046543462</v>
      </c>
      <c r="O40" s="123">
        <f ca="1">IF(StaffInfo[[#This Row],[Start date of PR]]="", "NA", YEARFRAC(StaffInfo[[#This Row],[Start date of PR]],TODAY(),1))</f>
        <v>3.0335386721423681</v>
      </c>
      <c r="P40" s="123">
        <f ca="1">YEARFRAC(StaffInfo[[#This Row],[Date employed]],TODAY(),1)</f>
        <v>5.0908261068005478</v>
      </c>
      <c r="Q40" s="96">
        <f>IF(StaffInfo[[#This Row],[Part/Full]]="F",IF(StaffInfo[[#This Row],[Years in co]]&gt;10,18,IF(StaffInfo[[#This Row],[Years in co]]&gt;7,17,IF(StaffInfo[[#This Row],[Years in co]]&gt;5,16,IF(StaffInfo[[#This Row],[Years in co]]&gt;3,15,14)))),0)</f>
        <v>0</v>
      </c>
    </row>
    <row r="41" spans="1:17" x14ac:dyDescent="0.35">
      <c r="A41" s="166" t="s">
        <v>112</v>
      </c>
      <c r="B41" s="96" t="s">
        <v>49</v>
      </c>
      <c r="C41" s="124" t="s">
        <v>226</v>
      </c>
      <c r="D41" s="96" t="s">
        <v>54</v>
      </c>
      <c r="E41" s="96" t="s">
        <v>81</v>
      </c>
      <c r="F41" s="120">
        <v>42169</v>
      </c>
      <c r="G41" s="120">
        <v>24598</v>
      </c>
      <c r="H41" s="120">
        <v>41410</v>
      </c>
      <c r="I41" s="96" t="s">
        <v>24</v>
      </c>
      <c r="J41" s="96" t="s">
        <v>22</v>
      </c>
      <c r="K41" s="134">
        <v>1100</v>
      </c>
      <c r="L41" s="134"/>
      <c r="M41" s="126">
        <f>IF(StaffInfo[[#This Row],[Part/Full]]="F",(StaffInfo[[#This Row],[Basic Pay]]*12)/(52*44),(StaffInfo[[#This Row],[Day Rate]]/$H$1))</f>
        <v>5.7692307692307692</v>
      </c>
      <c r="N41" s="123">
        <f ca="1">YEARFRAC(StaffInfo[[#This Row],[Date of Birth]],TODAY(),1)</f>
        <v>51.115674195756334</v>
      </c>
      <c r="O41" s="123">
        <f ca="1">IF(StaffInfo[[#This Row],[Start date of PR]]="", "NA", YEARFRAC(StaffInfo[[#This Row],[Start date of PR]],TODAY(),1))</f>
        <v>3.0088980150581794</v>
      </c>
      <c r="P41" s="123">
        <f ca="1">YEARFRAC(StaffInfo[[#This Row],[Date employed]],TODAY(),1)</f>
        <v>5.0880876312186212</v>
      </c>
      <c r="Q41" s="96">
        <f ca="1">IF(StaffInfo[[#This Row],[Part/Full]]="F",IF(StaffInfo[[#This Row],[Years in co]]&gt;10,18,IF(StaffInfo[[#This Row],[Years in co]]&gt;7,17,IF(StaffInfo[[#This Row],[Years in co]]&gt;5,16,IF(StaffInfo[[#This Row],[Years in co]]&gt;3,15,14)))),0)</f>
        <v>16</v>
      </c>
    </row>
    <row r="42" spans="1:17" x14ac:dyDescent="0.35">
      <c r="A42" s="2" t="s">
        <v>112</v>
      </c>
      <c r="B42" s="96" t="s">
        <v>50</v>
      </c>
      <c r="C42" s="124" t="s">
        <v>227</v>
      </c>
      <c r="D42" s="96" t="s">
        <v>54</v>
      </c>
      <c r="E42" s="96" t="s">
        <v>81</v>
      </c>
      <c r="F42" s="120">
        <v>42140</v>
      </c>
      <c r="G42" s="120">
        <v>22773</v>
      </c>
      <c r="H42" s="120">
        <v>42139</v>
      </c>
      <c r="I42" s="96" t="s">
        <v>22</v>
      </c>
      <c r="J42" s="96" t="s">
        <v>72</v>
      </c>
      <c r="K42" s="134"/>
      <c r="L42" s="134">
        <v>100</v>
      </c>
      <c r="M42" s="126">
        <f>IF(StaffInfo[[#This Row],[Part/Full]]="F",(StaffInfo[[#This Row],[Basic Pay]]*12)/(52*44),(StaffInfo[[#This Row],[Day Rate]]/$H$1))</f>
        <v>8.3333333333333339</v>
      </c>
      <c r="N42" s="123">
        <f ca="1">YEARFRAC(StaffInfo[[#This Row],[Date of Birth]],TODAY(),1)</f>
        <v>56.112925692876701</v>
      </c>
      <c r="O42" s="123">
        <f ca="1">IF(StaffInfo[[#This Row],[Start date of PR]]="", "NA", YEARFRAC(StaffInfo[[#This Row],[Start date of PR]],TODAY(),1))</f>
        <v>3.0882956878850103</v>
      </c>
      <c r="P42" s="123">
        <f ca="1">YEARFRAC(StaffInfo[[#This Row],[Date employed]],TODAY(),1)</f>
        <v>3.0910335386721424</v>
      </c>
      <c r="Q42" s="96">
        <f>IF(StaffInfo[[#This Row],[Part/Full]]="F",IF(StaffInfo[[#This Row],[Years in co]]&gt;10,18,IF(StaffInfo[[#This Row],[Years in co]]&gt;7,17,IF(StaffInfo[[#This Row],[Years in co]]&gt;5,16,IF(StaffInfo[[#This Row],[Years in co]]&gt;3,15,14)))),0)</f>
        <v>0</v>
      </c>
    </row>
    <row r="43" spans="1:17" x14ac:dyDescent="0.35">
      <c r="A43" s="2" t="s">
        <v>112</v>
      </c>
      <c r="B43" s="96" t="s">
        <v>51</v>
      </c>
      <c r="C43" s="124" t="s">
        <v>228</v>
      </c>
      <c r="D43" s="96" t="s">
        <v>54</v>
      </c>
      <c r="E43" s="96" t="s">
        <v>81</v>
      </c>
      <c r="F43" s="120">
        <v>42141</v>
      </c>
      <c r="G43" s="120">
        <v>22774</v>
      </c>
      <c r="H43" s="120">
        <v>42140</v>
      </c>
      <c r="I43" s="96" t="s">
        <v>24</v>
      </c>
      <c r="J43" s="96" t="s">
        <v>72</v>
      </c>
      <c r="K43" s="134"/>
      <c r="L43" s="134">
        <v>100</v>
      </c>
      <c r="M43" s="126">
        <f>IF(StaffInfo[[#This Row],[Part/Full]]="F",(StaffInfo[[#This Row],[Basic Pay]]*12)/(52*44),(StaffInfo[[#This Row],[Day Rate]]/$H$1))</f>
        <v>8.3333333333333339</v>
      </c>
      <c r="N43" s="123">
        <f ca="1">YEARFRAC(StaffInfo[[#This Row],[Date of Birth]],TODAY(),1)</f>
        <v>56.110187809212739</v>
      </c>
      <c r="O43" s="123">
        <f ca="1">IF(StaffInfo[[#This Row],[Start date of PR]]="", "NA", YEARFRAC(StaffInfo[[#This Row],[Start date of PR]],TODAY(),1))</f>
        <v>3.0855578370978782</v>
      </c>
      <c r="P43" s="123">
        <f ca="1">YEARFRAC(StaffInfo[[#This Row],[Date employed]],TODAY(),1)</f>
        <v>3.0882956878850103</v>
      </c>
      <c r="Q43" s="96">
        <f>IF(StaffInfo[[#This Row],[Part/Full]]="F",IF(StaffInfo[[#This Row],[Years in co]]&gt;10,18,IF(StaffInfo[[#This Row],[Years in co]]&gt;7,17,IF(StaffInfo[[#This Row],[Years in co]]&gt;5,16,IF(StaffInfo[[#This Row],[Years in co]]&gt;3,15,14)))),0)</f>
        <v>0</v>
      </c>
    </row>
    <row r="44" spans="1:17" x14ac:dyDescent="0.35">
      <c r="A44" s="2" t="s">
        <v>112</v>
      </c>
      <c r="B44" s="96" t="s">
        <v>52</v>
      </c>
      <c r="C44" s="124" t="s">
        <v>229</v>
      </c>
      <c r="D44" s="96" t="s">
        <v>53</v>
      </c>
      <c r="E44" s="96" t="s">
        <v>81</v>
      </c>
      <c r="F44" s="120">
        <v>42142</v>
      </c>
      <c r="G44" s="120">
        <v>22410</v>
      </c>
      <c r="H44" s="120">
        <v>42141</v>
      </c>
      <c r="I44" s="96" t="s">
        <v>24</v>
      </c>
      <c r="J44" s="96" t="s">
        <v>72</v>
      </c>
      <c r="K44" s="134"/>
      <c r="L44" s="134">
        <v>110</v>
      </c>
      <c r="M44" s="126">
        <f>IF(StaffInfo[[#This Row],[Part/Full]]="F",(StaffInfo[[#This Row],[Basic Pay]]*12)/(52*44),(StaffInfo[[#This Row],[Day Rate]]/$H$1))</f>
        <v>9.1666666666666661</v>
      </c>
      <c r="N44" s="123">
        <f ca="1">YEARFRAC(StaffInfo[[#This Row],[Date of Birth]],TODAY(),1)</f>
        <v>57.107439577039273</v>
      </c>
      <c r="O44" s="123">
        <f ca="1">IF(StaffInfo[[#This Row],[Start date of PR]]="", "NA", YEARFRAC(StaffInfo[[#This Row],[Start date of PR]],TODAY(),1))</f>
        <v>3.0828199863107462</v>
      </c>
      <c r="P44" s="123">
        <f ca="1">YEARFRAC(StaffInfo[[#This Row],[Date employed]],TODAY(),1)</f>
        <v>3.0855578370978782</v>
      </c>
      <c r="Q44" s="96">
        <f>IF(StaffInfo[[#This Row],[Part/Full]]="F",IF(StaffInfo[[#This Row],[Years in co]]&gt;10,18,IF(StaffInfo[[#This Row],[Years in co]]&gt;7,17,IF(StaffInfo[[#This Row],[Years in co]]&gt;5,16,IF(StaffInfo[[#This Row],[Years in co]]&gt;3,15,14)))),0)</f>
        <v>0</v>
      </c>
    </row>
    <row r="45" spans="1:17" x14ac:dyDescent="0.35">
      <c r="A45" s="2" t="s">
        <v>112</v>
      </c>
      <c r="B45" s="96" t="s">
        <v>58</v>
      </c>
      <c r="C45" s="124" t="s">
        <v>230</v>
      </c>
      <c r="D45" s="96" t="s">
        <v>55</v>
      </c>
      <c r="E45" s="96" t="s">
        <v>81</v>
      </c>
      <c r="F45" s="120">
        <v>42143</v>
      </c>
      <c r="G45" s="120">
        <v>22411</v>
      </c>
      <c r="H45" s="120">
        <v>42142</v>
      </c>
      <c r="I45" s="96" t="s">
        <v>24</v>
      </c>
      <c r="J45" s="96" t="s">
        <v>22</v>
      </c>
      <c r="K45" s="134">
        <v>1700</v>
      </c>
      <c r="L45" s="134"/>
      <c r="M45" s="126">
        <f>IF(StaffInfo[[#This Row],[Part/Full]]="F",(StaffInfo[[#This Row],[Basic Pay]]*12)/(52*44),(StaffInfo[[#This Row],[Day Rate]]/$H$1))</f>
        <v>8.9160839160839167</v>
      </c>
      <c r="N45" s="123">
        <f ca="1">YEARFRAC(StaffInfo[[#This Row],[Date of Birth]],TODAY(),1)</f>
        <v>57.104701661631417</v>
      </c>
      <c r="O45" s="123">
        <f ca="1">IF(StaffInfo[[#This Row],[Start date of PR]]="", "NA", YEARFRAC(StaffInfo[[#This Row],[Start date of PR]],TODAY(),1))</f>
        <v>3.0800821355236141</v>
      </c>
      <c r="P45" s="123">
        <f ca="1">YEARFRAC(StaffInfo[[#This Row],[Date employed]],TODAY(),1)</f>
        <v>3.0828199863107462</v>
      </c>
      <c r="Q45" s="96">
        <f ca="1">IF(StaffInfo[[#This Row],[Part/Full]]="F",IF(StaffInfo[[#This Row],[Years in co]]&gt;10,18,IF(StaffInfo[[#This Row],[Years in co]]&gt;7,17,IF(StaffInfo[[#This Row],[Years in co]]&gt;5,16,IF(StaffInfo[[#This Row],[Years in co]]&gt;3,15,14)))),0)</f>
        <v>15</v>
      </c>
    </row>
    <row r="46" spans="1:17" x14ac:dyDescent="0.35">
      <c r="A46" s="166" t="s">
        <v>112</v>
      </c>
      <c r="B46" s="96" t="s">
        <v>65</v>
      </c>
      <c r="C46" s="124" t="s">
        <v>231</v>
      </c>
      <c r="D46" s="96" t="s">
        <v>53</v>
      </c>
      <c r="E46" s="96" t="s">
        <v>81</v>
      </c>
      <c r="F46" s="120">
        <v>42150</v>
      </c>
      <c r="G46" s="120">
        <v>20951</v>
      </c>
      <c r="H46" s="120">
        <v>42143</v>
      </c>
      <c r="I46" s="96" t="s">
        <v>24</v>
      </c>
      <c r="J46" s="96" t="s">
        <v>72</v>
      </c>
      <c r="K46" s="134"/>
      <c r="L46" s="134">
        <v>110</v>
      </c>
      <c r="M46" s="126">
        <f>IF(StaffInfo[[#This Row],[Part/Full]]="F",(StaffInfo[[#This Row],[Basic Pay]]*12)/(52*44),(StaffInfo[[#This Row],[Day Rate]]/$H$1))</f>
        <v>9.1666666666666661</v>
      </c>
      <c r="N46" s="123">
        <f ca="1">YEARFRAC(StaffInfo[[#This Row],[Date of Birth]],TODAY(),1)</f>
        <v>61.101965113711636</v>
      </c>
      <c r="O46" s="123">
        <f ca="1">IF(StaffInfo[[#This Row],[Start date of PR]]="", "NA", YEARFRAC(StaffInfo[[#This Row],[Start date of PR]],TODAY(),1))</f>
        <v>3.0609171800136892</v>
      </c>
      <c r="P46" s="123">
        <f ca="1">YEARFRAC(StaffInfo[[#This Row],[Date employed]],TODAY(),1)</f>
        <v>3.0800821355236141</v>
      </c>
      <c r="Q46" s="96">
        <f>IF(StaffInfo[[#This Row],[Part/Full]]="F",IF(StaffInfo[[#This Row],[Years in co]]&gt;10,18,IF(StaffInfo[[#This Row],[Years in co]]&gt;7,17,IF(StaffInfo[[#This Row],[Years in co]]&gt;5,16,IF(StaffInfo[[#This Row],[Years in co]]&gt;3,15,14)))),0)</f>
        <v>0</v>
      </c>
    </row>
    <row r="47" spans="1:17" x14ac:dyDescent="0.35">
      <c r="A47" s="166" t="s">
        <v>112</v>
      </c>
      <c r="B47" s="96" t="s">
        <v>59</v>
      </c>
      <c r="C47" s="124" t="s">
        <v>232</v>
      </c>
      <c r="D47" s="96" t="s">
        <v>54</v>
      </c>
      <c r="E47" s="96" t="s">
        <v>81</v>
      </c>
      <c r="F47" s="120">
        <v>42151</v>
      </c>
      <c r="G47" s="120">
        <v>20962</v>
      </c>
      <c r="H47" s="120">
        <v>42144</v>
      </c>
      <c r="I47" s="96" t="s">
        <v>22</v>
      </c>
      <c r="J47" s="96" t="s">
        <v>72</v>
      </c>
      <c r="K47" s="134"/>
      <c r="L47" s="134">
        <v>100</v>
      </c>
      <c r="M47" s="126">
        <f>IF(StaffInfo[[#This Row],[Part/Full]]="F",(StaffInfo[[#This Row],[Basic Pay]]*12)/(52*44),(StaffInfo[[#This Row],[Day Rate]]/$H$1))</f>
        <v>8.3333333333333339</v>
      </c>
      <c r="N47" s="123">
        <f ca="1">YEARFRAC(StaffInfo[[#This Row],[Date of Birth]],TODAY(),1)</f>
        <v>61.071848090086114</v>
      </c>
      <c r="O47" s="123">
        <f ca="1">IF(StaffInfo[[#This Row],[Start date of PR]]="", "NA", YEARFRAC(StaffInfo[[#This Row],[Start date of PR]],TODAY(),1))</f>
        <v>3.0581793292265571</v>
      </c>
      <c r="P47" s="123">
        <f ca="1">YEARFRAC(StaffInfo[[#This Row],[Date employed]],TODAY(),1)</f>
        <v>3.077344284736482</v>
      </c>
      <c r="Q47" s="96">
        <f>IF(StaffInfo[[#This Row],[Part/Full]]="F",IF(StaffInfo[[#This Row],[Years in co]]&gt;10,18,IF(StaffInfo[[#This Row],[Years in co]]&gt;7,17,IF(StaffInfo[[#This Row],[Years in co]]&gt;5,16,IF(StaffInfo[[#This Row],[Years in co]]&gt;3,15,14)))),0)</f>
        <v>0</v>
      </c>
    </row>
    <row r="48" spans="1:17" x14ac:dyDescent="0.35">
      <c r="A48" s="166" t="s">
        <v>112</v>
      </c>
      <c r="B48" s="96" t="s">
        <v>63</v>
      </c>
      <c r="C48" s="124" t="s">
        <v>233</v>
      </c>
      <c r="D48" s="96" t="s">
        <v>53</v>
      </c>
      <c r="E48" s="96" t="s">
        <v>81</v>
      </c>
      <c r="F48" s="120">
        <v>42152</v>
      </c>
      <c r="G48" s="120">
        <v>20597</v>
      </c>
      <c r="H48" s="120">
        <v>42145</v>
      </c>
      <c r="I48" s="96" t="s">
        <v>22</v>
      </c>
      <c r="J48" s="96" t="s">
        <v>72</v>
      </c>
      <c r="K48" s="134"/>
      <c r="L48" s="134">
        <v>110</v>
      </c>
      <c r="M48" s="126">
        <f>IF(StaffInfo[[#This Row],[Part/Full]]="F",(StaffInfo[[#This Row],[Basic Pay]]*12)/(52*44),(StaffInfo[[#This Row],[Day Rate]]/$H$1))</f>
        <v>9.1666666666666661</v>
      </c>
      <c r="N48" s="123">
        <f ca="1">YEARFRAC(StaffInfo[[#This Row],[Date of Birth]],TODAY(),1)</f>
        <v>62.069140845682497</v>
      </c>
      <c r="O48" s="123">
        <f ca="1">IF(StaffInfo[[#This Row],[Start date of PR]]="", "NA", YEARFRAC(StaffInfo[[#This Row],[Start date of PR]],TODAY(),1))</f>
        <v>3.055441478439425</v>
      </c>
      <c r="P48" s="123">
        <f ca="1">YEARFRAC(StaffInfo[[#This Row],[Date employed]],TODAY(),1)</f>
        <v>3.07460643394935</v>
      </c>
      <c r="Q48" s="96">
        <f>IF(StaffInfo[[#This Row],[Part/Full]]="F",IF(StaffInfo[[#This Row],[Years in co]]&gt;10,18,IF(StaffInfo[[#This Row],[Years in co]]&gt;7,17,IF(StaffInfo[[#This Row],[Years in co]]&gt;5,16,IF(StaffInfo[[#This Row],[Years in co]]&gt;3,15,14)))),0)</f>
        <v>0</v>
      </c>
    </row>
    <row r="49" spans="1:17" x14ac:dyDescent="0.35">
      <c r="A49" s="166" t="s">
        <v>112</v>
      </c>
      <c r="B49" s="96" t="s">
        <v>64</v>
      </c>
      <c r="C49" s="124" t="s">
        <v>234</v>
      </c>
      <c r="D49" s="96" t="s">
        <v>55</v>
      </c>
      <c r="E49" s="96" t="s">
        <v>81</v>
      </c>
      <c r="F49" s="120">
        <v>42153</v>
      </c>
      <c r="G49" s="120">
        <v>20589</v>
      </c>
      <c r="H49" s="120">
        <v>42146</v>
      </c>
      <c r="I49" s="96" t="s">
        <v>24</v>
      </c>
      <c r="J49" s="96" t="s">
        <v>22</v>
      </c>
      <c r="K49" s="134">
        <v>1700</v>
      </c>
      <c r="L49" s="134"/>
      <c r="M49" s="126">
        <f>IF(StaffInfo[[#This Row],[Part/Full]]="F",(StaffInfo[[#This Row],[Basic Pay]]*12)/(52*44),(StaffInfo[[#This Row],[Day Rate]]/$H$1))</f>
        <v>8.9160839160839167</v>
      </c>
      <c r="N49" s="123">
        <f ca="1">YEARFRAC(StaffInfo[[#This Row],[Date of Birth]],TODAY(),1)</f>
        <v>62.091043414019381</v>
      </c>
      <c r="O49" s="123">
        <f ca="1">IF(StaffInfo[[#This Row],[Start date of PR]]="", "NA", YEARFRAC(StaffInfo[[#This Row],[Start date of PR]],TODAY(),1))</f>
        <v>3.052703627652293</v>
      </c>
      <c r="P49" s="123">
        <f ca="1">YEARFRAC(StaffInfo[[#This Row],[Date employed]],TODAY(),1)</f>
        <v>3.0718685831622174</v>
      </c>
      <c r="Q49" s="96">
        <f ca="1">IF(StaffInfo[[#This Row],[Part/Full]]="F",IF(StaffInfo[[#This Row],[Years in co]]&gt;10,18,IF(StaffInfo[[#This Row],[Years in co]]&gt;7,17,IF(StaffInfo[[#This Row],[Years in co]]&gt;5,16,IF(StaffInfo[[#This Row],[Years in co]]&gt;3,15,14)))),0)</f>
        <v>15</v>
      </c>
    </row>
    <row r="50" spans="1:17" x14ac:dyDescent="0.35">
      <c r="A50" s="2" t="s">
        <v>112</v>
      </c>
      <c r="B50" s="96" t="s">
        <v>60</v>
      </c>
      <c r="C50" s="124" t="s">
        <v>235</v>
      </c>
      <c r="D50" s="96" t="s">
        <v>54</v>
      </c>
      <c r="E50" s="96" t="s">
        <v>81</v>
      </c>
      <c r="F50" s="120">
        <v>42154</v>
      </c>
      <c r="G50" s="120">
        <v>19129</v>
      </c>
      <c r="H50" s="120">
        <v>42147</v>
      </c>
      <c r="I50" s="96" t="s">
        <v>22</v>
      </c>
      <c r="J50" s="96" t="s">
        <v>72</v>
      </c>
      <c r="K50" s="134"/>
      <c r="L50" s="134">
        <v>100</v>
      </c>
      <c r="M50" s="126">
        <f>IF(StaffInfo[[#This Row],[Part/Full]]="F",(StaffInfo[[#This Row],[Basic Pay]]*12)/(52*44),(StaffInfo[[#This Row],[Day Rate]]/$H$1))</f>
        <v>8.3333333333333339</v>
      </c>
      <c r="N50" s="123">
        <f ca="1">YEARFRAC(StaffInfo[[#This Row],[Date of Birth]],TODAY(),1)</f>
        <v>66.088305001634524</v>
      </c>
      <c r="O50" s="123">
        <f ca="1">IF(StaffInfo[[#This Row],[Start date of PR]]="", "NA", YEARFRAC(StaffInfo[[#This Row],[Start date of PR]],TODAY(),1))</f>
        <v>3.0499657768651609</v>
      </c>
      <c r="P50" s="123">
        <f ca="1">YEARFRAC(StaffInfo[[#This Row],[Date employed]],TODAY(),1)</f>
        <v>3.0691307323750854</v>
      </c>
      <c r="Q50" s="96">
        <f>IF(StaffInfo[[#This Row],[Part/Full]]="F",IF(StaffInfo[[#This Row],[Years in co]]&gt;10,18,IF(StaffInfo[[#This Row],[Years in co]]&gt;7,17,IF(StaffInfo[[#This Row],[Years in co]]&gt;5,16,IF(StaffInfo[[#This Row],[Years in co]]&gt;3,15,14)))),0)</f>
        <v>0</v>
      </c>
    </row>
    <row r="51" spans="1:17" x14ac:dyDescent="0.35">
      <c r="A51" s="2" t="s">
        <v>112</v>
      </c>
      <c r="B51" s="96" t="s">
        <v>61</v>
      </c>
      <c r="C51" s="124" t="s">
        <v>236</v>
      </c>
      <c r="D51" s="96" t="s">
        <v>54</v>
      </c>
      <c r="E51" s="96" t="s">
        <v>81</v>
      </c>
      <c r="F51" s="120">
        <v>42155</v>
      </c>
      <c r="G51" s="120">
        <v>19130</v>
      </c>
      <c r="H51" s="120">
        <v>42148</v>
      </c>
      <c r="I51" s="96" t="s">
        <v>22</v>
      </c>
      <c r="J51" s="96" t="s">
        <v>72</v>
      </c>
      <c r="K51" s="134"/>
      <c r="L51" s="134">
        <v>100</v>
      </c>
      <c r="M51" s="126">
        <f>IF(StaffInfo[[#This Row],[Part/Full]]="F",(StaffInfo[[#This Row],[Basic Pay]]*12)/(52*44),(StaffInfo[[#This Row],[Day Rate]]/$H$1))</f>
        <v>8.3333333333333339</v>
      </c>
      <c r="N51" s="123">
        <f ca="1">YEARFRAC(StaffInfo[[#This Row],[Date of Birth]],TODAY(),1)</f>
        <v>66.085567178816603</v>
      </c>
      <c r="O51" s="123">
        <f ca="1">IF(StaffInfo[[#This Row],[Start date of PR]]="", "NA", YEARFRAC(StaffInfo[[#This Row],[Start date of PR]],TODAY(),1))</f>
        <v>3.0472279260780288</v>
      </c>
      <c r="P51" s="123">
        <f ca="1">YEARFRAC(StaffInfo[[#This Row],[Date employed]],TODAY(),1)</f>
        <v>3.0663928815879533</v>
      </c>
      <c r="Q51" s="96">
        <f>IF(StaffInfo[[#This Row],[Part/Full]]="F",IF(StaffInfo[[#This Row],[Years in co]]&gt;10,18,IF(StaffInfo[[#This Row],[Years in co]]&gt;7,17,IF(StaffInfo[[#This Row],[Years in co]]&gt;5,16,IF(StaffInfo[[#This Row],[Years in co]]&gt;3,15,14)))),0)</f>
        <v>0</v>
      </c>
    </row>
    <row r="52" spans="1:17" x14ac:dyDescent="0.35">
      <c r="A52" s="2" t="s">
        <v>112</v>
      </c>
      <c r="B52" s="96" t="s">
        <v>71</v>
      </c>
      <c r="C52" s="124" t="s">
        <v>237</v>
      </c>
      <c r="D52" s="96" t="s">
        <v>53</v>
      </c>
      <c r="E52" s="96" t="s">
        <v>81</v>
      </c>
      <c r="F52" s="120">
        <v>42156</v>
      </c>
      <c r="G52" s="120">
        <v>19095</v>
      </c>
      <c r="H52" s="120">
        <v>42149</v>
      </c>
      <c r="I52" s="96" t="s">
        <v>24</v>
      </c>
      <c r="J52" s="96" t="s">
        <v>72</v>
      </c>
      <c r="K52" s="134"/>
      <c r="L52" s="134">
        <v>110</v>
      </c>
      <c r="M52" s="134">
        <f>IF(StaffInfo[[#This Row],[Part/Full]]="F",(StaffInfo[[#This Row],[Basic Pay]]*12)/(52*44),(StaffInfo[[#This Row],[Day Rate]]/$H$1))</f>
        <v>9.1666666666666661</v>
      </c>
      <c r="N52" s="123">
        <f ca="1">YEARFRAC(StaffInfo[[#This Row],[Date of Birth]],TODAY(),1)</f>
        <v>66.181390977443613</v>
      </c>
      <c r="O52" s="123">
        <f ca="1">IF(StaffInfo[[#This Row],[Start date of PR]]="", "NA", YEARFRAC(StaffInfo[[#This Row],[Start date of PR]],TODAY(),1))</f>
        <v>3.0444900752908968</v>
      </c>
      <c r="P52" s="123">
        <f ca="1">YEARFRAC(StaffInfo[[#This Row],[Date employed]],TODAY(),1)</f>
        <v>3.0636550308008212</v>
      </c>
      <c r="Q52" s="96">
        <f>IF(StaffInfo[[#This Row],[Part/Full]]="F",IF(StaffInfo[[#This Row],[Years in co]]&gt;10,18,IF(StaffInfo[[#This Row],[Years in co]]&gt;7,17,IF(StaffInfo[[#This Row],[Years in co]]&gt;5,16,IF(StaffInfo[[#This Row],[Years in co]]&gt;3,15,14)))),0)</f>
        <v>0</v>
      </c>
    </row>
    <row r="53" spans="1:17" x14ac:dyDescent="0.35">
      <c r="A53" s="2" t="s">
        <v>112</v>
      </c>
      <c r="B53" s="96" t="s">
        <v>73</v>
      </c>
      <c r="C53" s="124" t="s">
        <v>238</v>
      </c>
      <c r="D53" s="96" t="s">
        <v>54</v>
      </c>
      <c r="E53" s="96" t="s">
        <v>81</v>
      </c>
      <c r="F53" s="120">
        <v>42157</v>
      </c>
      <c r="G53" s="120">
        <v>18729</v>
      </c>
      <c r="H53" s="120">
        <v>42150</v>
      </c>
      <c r="I53" s="96" t="s">
        <v>24</v>
      </c>
      <c r="J53" s="96" t="s">
        <v>22</v>
      </c>
      <c r="K53" s="134">
        <v>1100</v>
      </c>
      <c r="L53" s="134"/>
      <c r="M53" s="134">
        <f>IF(StaffInfo[[#This Row],[Part/Full]]="F",(StaffInfo[[#This Row],[Basic Pay]]*12)/(52*44),(StaffInfo[[#This Row],[Day Rate]]/$H$1))</f>
        <v>5.7692307692307692</v>
      </c>
      <c r="N53" s="123">
        <f ca="1">YEARFRAC(StaffInfo[[#This Row],[Date of Birth]],TODAY(),1)</f>
        <v>67.184120465434631</v>
      </c>
      <c r="O53" s="123">
        <f ca="1">IF(StaffInfo[[#This Row],[Start date of PR]]="", "NA", YEARFRAC(StaffInfo[[#This Row],[Start date of PR]],TODAY(),1))</f>
        <v>3.0417522245037647</v>
      </c>
      <c r="P53" s="123">
        <f ca="1">YEARFRAC(StaffInfo[[#This Row],[Date employed]],TODAY(),1)</f>
        <v>3.0609171800136892</v>
      </c>
      <c r="Q53" s="96">
        <f ca="1">IF(StaffInfo[[#This Row],[Part/Full]]="F",IF(StaffInfo[[#This Row],[Years in co]]&gt;10,18,IF(StaffInfo[[#This Row],[Years in co]]&gt;7,17,IF(StaffInfo[[#This Row],[Years in co]]&gt;5,16,IF(StaffInfo[[#This Row],[Years in co]]&gt;3,15,14)))),0)</f>
        <v>15</v>
      </c>
    </row>
    <row r="54" spans="1:17" x14ac:dyDescent="0.35">
      <c r="A54" s="167" t="s">
        <v>83</v>
      </c>
      <c r="B54" s="96" t="s">
        <v>44</v>
      </c>
      <c r="C54" s="124" t="s">
        <v>239</v>
      </c>
      <c r="D54" s="96" t="s">
        <v>55</v>
      </c>
      <c r="E54" s="96" t="s">
        <v>83</v>
      </c>
      <c r="F54" s="120"/>
      <c r="G54" s="120">
        <v>24230</v>
      </c>
      <c r="H54" s="120">
        <v>40678</v>
      </c>
      <c r="I54" s="96" t="s">
        <v>22</v>
      </c>
      <c r="J54" s="96" t="s">
        <v>72</v>
      </c>
      <c r="K54" s="134"/>
      <c r="L54" s="134">
        <v>130</v>
      </c>
      <c r="M54" s="126">
        <f>IF(StaffInfo[[#This Row],[Part/Full]]="F",(StaffInfo[[#This Row],[Basic Pay]]*12)/(52*44),(StaffInfo[[#This Row],[Day Rate]]/$H$1))</f>
        <v>10.833333333333334</v>
      </c>
      <c r="N54" s="123">
        <f ca="1">YEARFRAC(StaffInfo[[#This Row],[Date of Birth]],TODAY(),1)</f>
        <v>52.123876433515854</v>
      </c>
      <c r="O54" s="123" t="str">
        <f ca="1">IF(StaffInfo[[#This Row],[Start date of PR]]="", "NA", YEARFRAC(StaffInfo[[#This Row],[Start date of PR]],TODAY(),1))</f>
        <v>NA</v>
      </c>
      <c r="P54" s="123">
        <f ca="1">YEARFRAC(StaffInfo[[#This Row],[Date employed]],TODAY(),1)</f>
        <v>7.0910335386721428</v>
      </c>
      <c r="Q54" s="96">
        <f>IF(StaffInfo[[#This Row],[Part/Full]]="F",IF(StaffInfo[[#This Row],[Years in co]]&gt;10,18,IF(StaffInfo[[#This Row],[Years in co]]&gt;7,17,IF(StaffInfo[[#This Row],[Years in co]]&gt;5,16,IF(StaffInfo[[#This Row],[Years in co]]&gt;3,15,14)))),0)</f>
        <v>0</v>
      </c>
    </row>
    <row r="55" spans="1:17" x14ac:dyDescent="0.35">
      <c r="A55" s="167" t="s">
        <v>83</v>
      </c>
      <c r="B55" s="96" t="s">
        <v>45</v>
      </c>
      <c r="C55" s="124" t="s">
        <v>240</v>
      </c>
      <c r="D55" s="96" t="s">
        <v>56</v>
      </c>
      <c r="E55" s="96" t="s">
        <v>83</v>
      </c>
      <c r="F55" s="120"/>
      <c r="G55" s="120">
        <v>24596</v>
      </c>
      <c r="H55" s="120">
        <v>40679</v>
      </c>
      <c r="I55" s="96" t="s">
        <v>24</v>
      </c>
      <c r="J55" s="96" t="s">
        <v>72</v>
      </c>
      <c r="K55" s="134"/>
      <c r="L55" s="134">
        <v>130</v>
      </c>
      <c r="M55" s="126">
        <f>IF(StaffInfo[[#This Row],[Part/Full]]="F",(StaffInfo[[#This Row],[Basic Pay]]*12)/(52*44),(StaffInfo[[#This Row],[Day Rate]]/$H$1))</f>
        <v>10.833333333333334</v>
      </c>
      <c r="N55" s="123">
        <f ca="1">YEARFRAC(StaffInfo[[#This Row],[Date of Birth]],TODAY(),1)</f>
        <v>51.121149897330596</v>
      </c>
      <c r="O55" s="123" t="str">
        <f ca="1">IF(StaffInfo[[#This Row],[Start date of PR]]="", "NA", YEARFRAC(StaffInfo[[#This Row],[Start date of PR]],TODAY(),1))</f>
        <v>NA</v>
      </c>
      <c r="P55" s="123">
        <f ca="1">YEARFRAC(StaffInfo[[#This Row],[Date employed]],TODAY(),1)</f>
        <v>7.0882956878850099</v>
      </c>
      <c r="Q55" s="96">
        <f>IF(StaffInfo[[#This Row],[Part/Full]]="F",IF(StaffInfo[[#This Row],[Years in co]]&gt;10,18,IF(StaffInfo[[#This Row],[Years in co]]&gt;7,17,IF(StaffInfo[[#This Row],[Years in co]]&gt;5,16,IF(StaffInfo[[#This Row],[Years in co]]&gt;3,15,14)))),0)</f>
        <v>0</v>
      </c>
    </row>
    <row r="56" spans="1:17" x14ac:dyDescent="0.35">
      <c r="A56" s="167" t="s">
        <v>83</v>
      </c>
      <c r="B56" s="96" t="s">
        <v>46</v>
      </c>
      <c r="C56" s="124" t="s">
        <v>241</v>
      </c>
      <c r="D56" s="96" t="s">
        <v>56</v>
      </c>
      <c r="E56" s="96" t="s">
        <v>83</v>
      </c>
      <c r="F56" s="120"/>
      <c r="G56" s="120">
        <v>24597</v>
      </c>
      <c r="H56" s="120">
        <v>41409</v>
      </c>
      <c r="I56" s="96" t="s">
        <v>24</v>
      </c>
      <c r="J56" s="96" t="s">
        <v>72</v>
      </c>
      <c r="K56" s="134"/>
      <c r="L56" s="134">
        <v>120</v>
      </c>
      <c r="M56" s="126">
        <f>IF(StaffInfo[[#This Row],[Part/Full]]="F",(StaffInfo[[#This Row],[Basic Pay]]*12)/(52*44),(StaffInfo[[#This Row],[Day Rate]]/$H$1))</f>
        <v>10</v>
      </c>
      <c r="N56" s="123">
        <f ca="1">YEARFRAC(StaffInfo[[#This Row],[Date of Birth]],TODAY(),1)</f>
        <v>51.118412046543462</v>
      </c>
      <c r="O56" s="123" t="str">
        <f ca="1">IF(StaffInfo[[#This Row],[Start date of PR]]="", "NA", YEARFRAC(StaffInfo[[#This Row],[Start date of PR]],TODAY(),1))</f>
        <v>NA</v>
      </c>
      <c r="P56" s="123">
        <f ca="1">YEARFRAC(StaffInfo[[#This Row],[Date employed]],TODAY(),1)</f>
        <v>5.0908261068005478</v>
      </c>
      <c r="Q56" s="96">
        <f>IF(StaffInfo[[#This Row],[Part/Full]]="F",IF(StaffInfo[[#This Row],[Years in co]]&gt;10,18,IF(StaffInfo[[#This Row],[Years in co]]&gt;7,17,IF(StaffInfo[[#This Row],[Years in co]]&gt;5,16,IF(StaffInfo[[#This Row],[Years in co]]&gt;3,15,14)))),0)</f>
        <v>0</v>
      </c>
    </row>
    <row r="57" spans="1:17" x14ac:dyDescent="0.35">
      <c r="A57" s="167" t="s">
        <v>83</v>
      </c>
      <c r="B57" s="96" t="s">
        <v>49</v>
      </c>
      <c r="C57" s="124" t="s">
        <v>242</v>
      </c>
      <c r="D57" s="96" t="s">
        <v>54</v>
      </c>
      <c r="E57" s="96" t="s">
        <v>83</v>
      </c>
      <c r="F57" s="120"/>
      <c r="G57" s="120">
        <v>24598</v>
      </c>
      <c r="H57" s="120">
        <v>41410</v>
      </c>
      <c r="I57" s="96" t="s">
        <v>24</v>
      </c>
      <c r="J57" s="96" t="s">
        <v>22</v>
      </c>
      <c r="K57" s="134">
        <v>1100</v>
      </c>
      <c r="L57" s="134"/>
      <c r="M57" s="126">
        <f>IF(StaffInfo[[#This Row],[Part/Full]]="F",(StaffInfo[[#This Row],[Basic Pay]]*12)/(52*44),(StaffInfo[[#This Row],[Day Rate]]/$H$1))</f>
        <v>5.7692307692307692</v>
      </c>
      <c r="N57" s="123">
        <f ca="1">YEARFRAC(StaffInfo[[#This Row],[Date of Birth]],TODAY(),1)</f>
        <v>51.115674195756334</v>
      </c>
      <c r="O57" s="123" t="str">
        <f ca="1">IF(StaffInfo[[#This Row],[Start date of PR]]="", "NA", YEARFRAC(StaffInfo[[#This Row],[Start date of PR]],TODAY(),1))</f>
        <v>NA</v>
      </c>
      <c r="P57" s="123">
        <f ca="1">YEARFRAC(StaffInfo[[#This Row],[Date employed]],TODAY(),1)</f>
        <v>5.0880876312186212</v>
      </c>
      <c r="Q57" s="96">
        <f ca="1">IF(StaffInfo[[#This Row],[Part/Full]]="F",IF(StaffInfo[[#This Row],[Years in co]]&gt;10,18,IF(StaffInfo[[#This Row],[Years in co]]&gt;7,17,IF(StaffInfo[[#This Row],[Years in co]]&gt;5,16,IF(StaffInfo[[#This Row],[Years in co]]&gt;3,15,14)))),0)</f>
        <v>16</v>
      </c>
    </row>
    <row r="58" spans="1:17" x14ac:dyDescent="0.35">
      <c r="A58" s="169" t="s">
        <v>83</v>
      </c>
      <c r="B58" s="96" t="s">
        <v>50</v>
      </c>
      <c r="C58" s="124" t="s">
        <v>243</v>
      </c>
      <c r="D58" s="96" t="s">
        <v>54</v>
      </c>
      <c r="E58" s="96" t="s">
        <v>83</v>
      </c>
      <c r="F58" s="120"/>
      <c r="G58" s="120">
        <v>22773</v>
      </c>
      <c r="H58" s="120">
        <v>42139</v>
      </c>
      <c r="I58" s="96" t="s">
        <v>22</v>
      </c>
      <c r="J58" s="96" t="s">
        <v>72</v>
      </c>
      <c r="K58" s="134"/>
      <c r="L58" s="134">
        <v>100</v>
      </c>
      <c r="M58" s="126">
        <f>IF(StaffInfo[[#This Row],[Part/Full]]="F",(StaffInfo[[#This Row],[Basic Pay]]*12)/(52*44),(StaffInfo[[#This Row],[Day Rate]]/$H$1))</f>
        <v>8.3333333333333339</v>
      </c>
      <c r="N58" s="123">
        <f ca="1">YEARFRAC(StaffInfo[[#This Row],[Date of Birth]],TODAY(),1)</f>
        <v>56.112925692876701</v>
      </c>
      <c r="O58" s="123" t="str">
        <f ca="1">IF(StaffInfo[[#This Row],[Start date of PR]]="", "NA", YEARFRAC(StaffInfo[[#This Row],[Start date of PR]],TODAY(),1))</f>
        <v>NA</v>
      </c>
      <c r="P58" s="123">
        <f ca="1">YEARFRAC(StaffInfo[[#This Row],[Date employed]],TODAY(),1)</f>
        <v>3.0910335386721424</v>
      </c>
      <c r="Q58" s="96">
        <f>IF(StaffInfo[[#This Row],[Part/Full]]="F",IF(StaffInfo[[#This Row],[Years in co]]&gt;10,18,IF(StaffInfo[[#This Row],[Years in co]]&gt;7,17,IF(StaffInfo[[#This Row],[Years in co]]&gt;5,16,IF(StaffInfo[[#This Row],[Years in co]]&gt;3,15,14)))),0)</f>
        <v>0</v>
      </c>
    </row>
    <row r="59" spans="1:17" x14ac:dyDescent="0.35">
      <c r="A59" s="169" t="s">
        <v>83</v>
      </c>
      <c r="B59" s="96" t="s">
        <v>51</v>
      </c>
      <c r="C59" s="124" t="s">
        <v>257</v>
      </c>
      <c r="D59" s="96" t="s">
        <v>54</v>
      </c>
      <c r="E59" s="96" t="s">
        <v>83</v>
      </c>
      <c r="F59" s="120"/>
      <c r="G59" s="120">
        <v>22774</v>
      </c>
      <c r="H59" s="120">
        <v>42140</v>
      </c>
      <c r="I59" s="96" t="s">
        <v>24</v>
      </c>
      <c r="J59" s="96" t="s">
        <v>72</v>
      </c>
      <c r="K59" s="134"/>
      <c r="L59" s="134">
        <v>100</v>
      </c>
      <c r="M59" s="126">
        <f>IF(StaffInfo[[#This Row],[Part/Full]]="F",(StaffInfo[[#This Row],[Basic Pay]]*12)/(52*44),(StaffInfo[[#This Row],[Day Rate]]/$H$1))</f>
        <v>8.3333333333333339</v>
      </c>
      <c r="N59" s="123">
        <f ca="1">YEARFRAC(StaffInfo[[#This Row],[Date of Birth]],TODAY(),1)</f>
        <v>56.110187809212739</v>
      </c>
      <c r="O59" s="123" t="str">
        <f ca="1">IF(StaffInfo[[#This Row],[Start date of PR]]="", "NA", YEARFRAC(StaffInfo[[#This Row],[Start date of PR]],TODAY(),1))</f>
        <v>NA</v>
      </c>
      <c r="P59" s="123">
        <f ca="1">YEARFRAC(StaffInfo[[#This Row],[Date employed]],TODAY(),1)</f>
        <v>3.0882956878850103</v>
      </c>
      <c r="Q59" s="96">
        <f>IF(StaffInfo[[#This Row],[Part/Full]]="F",IF(StaffInfo[[#This Row],[Years in co]]&gt;10,18,IF(StaffInfo[[#This Row],[Years in co]]&gt;7,17,IF(StaffInfo[[#This Row],[Years in co]]&gt;5,16,IF(StaffInfo[[#This Row],[Years in co]]&gt;3,15,14)))),0)</f>
        <v>0</v>
      </c>
    </row>
    <row r="60" spans="1:17" x14ac:dyDescent="0.35">
      <c r="A60" s="169" t="s">
        <v>83</v>
      </c>
      <c r="B60" s="96" t="s">
        <v>52</v>
      </c>
      <c r="C60" s="124" t="s">
        <v>244</v>
      </c>
      <c r="D60" s="96" t="s">
        <v>53</v>
      </c>
      <c r="E60" s="96" t="s">
        <v>83</v>
      </c>
      <c r="F60" s="120"/>
      <c r="G60" s="120">
        <v>22410</v>
      </c>
      <c r="H60" s="120">
        <v>42141</v>
      </c>
      <c r="I60" s="96" t="s">
        <v>24</v>
      </c>
      <c r="J60" s="96" t="s">
        <v>72</v>
      </c>
      <c r="K60" s="134"/>
      <c r="L60" s="134">
        <v>110</v>
      </c>
      <c r="M60" s="126">
        <f>IF(StaffInfo[[#This Row],[Part/Full]]="F",(StaffInfo[[#This Row],[Basic Pay]]*12)/(52*44),(StaffInfo[[#This Row],[Day Rate]]/$H$1))</f>
        <v>9.1666666666666661</v>
      </c>
      <c r="N60" s="123">
        <f ca="1">YEARFRAC(StaffInfo[[#This Row],[Date of Birth]],TODAY(),1)</f>
        <v>57.107439577039273</v>
      </c>
      <c r="O60" s="123" t="str">
        <f ca="1">IF(StaffInfo[[#This Row],[Start date of PR]]="", "NA", YEARFRAC(StaffInfo[[#This Row],[Start date of PR]],TODAY(),1))</f>
        <v>NA</v>
      </c>
      <c r="P60" s="123">
        <f ca="1">YEARFRAC(StaffInfo[[#This Row],[Date employed]],TODAY(),1)</f>
        <v>3.0855578370978782</v>
      </c>
      <c r="Q60" s="96">
        <f>IF(StaffInfo[[#This Row],[Part/Full]]="F",IF(StaffInfo[[#This Row],[Years in co]]&gt;10,18,IF(StaffInfo[[#This Row],[Years in co]]&gt;7,17,IF(StaffInfo[[#This Row],[Years in co]]&gt;5,16,IF(StaffInfo[[#This Row],[Years in co]]&gt;3,15,14)))),0)</f>
        <v>0</v>
      </c>
    </row>
    <row r="61" spans="1:17" x14ac:dyDescent="0.35">
      <c r="A61" s="169" t="s">
        <v>83</v>
      </c>
      <c r="B61" s="96" t="s">
        <v>58</v>
      </c>
      <c r="C61" s="124" t="s">
        <v>245</v>
      </c>
      <c r="D61" s="96" t="s">
        <v>55</v>
      </c>
      <c r="E61" s="96" t="s">
        <v>83</v>
      </c>
      <c r="F61" s="120"/>
      <c r="G61" s="120">
        <v>22411</v>
      </c>
      <c r="H61" s="120">
        <v>42142</v>
      </c>
      <c r="I61" s="96" t="s">
        <v>24</v>
      </c>
      <c r="J61" s="96" t="s">
        <v>22</v>
      </c>
      <c r="K61" s="134">
        <v>1700</v>
      </c>
      <c r="L61" s="134"/>
      <c r="M61" s="126">
        <f>IF(StaffInfo[[#This Row],[Part/Full]]="F",(StaffInfo[[#This Row],[Basic Pay]]*12)/(52*44),(StaffInfo[[#This Row],[Day Rate]]/$H$1))</f>
        <v>8.9160839160839167</v>
      </c>
      <c r="N61" s="123">
        <f ca="1">YEARFRAC(StaffInfo[[#This Row],[Date of Birth]],TODAY(),1)</f>
        <v>57.104701661631417</v>
      </c>
      <c r="O61" s="123" t="str">
        <f ca="1">IF(StaffInfo[[#This Row],[Start date of PR]]="", "NA", YEARFRAC(StaffInfo[[#This Row],[Start date of PR]],TODAY(),1))</f>
        <v>NA</v>
      </c>
      <c r="P61" s="123">
        <f ca="1">YEARFRAC(StaffInfo[[#This Row],[Date employed]],TODAY(),1)</f>
        <v>3.0828199863107462</v>
      </c>
      <c r="Q61" s="96">
        <f ca="1">IF(StaffInfo[[#This Row],[Part/Full]]="F",IF(StaffInfo[[#This Row],[Years in co]]&gt;10,18,IF(StaffInfo[[#This Row],[Years in co]]&gt;7,17,IF(StaffInfo[[#This Row],[Years in co]]&gt;5,16,IF(StaffInfo[[#This Row],[Years in co]]&gt;3,15,14)))),0)</f>
        <v>15</v>
      </c>
    </row>
    <row r="62" spans="1:17" x14ac:dyDescent="0.35">
      <c r="A62" s="167" t="s">
        <v>83</v>
      </c>
      <c r="B62" s="96" t="s">
        <v>65</v>
      </c>
      <c r="C62" s="124" t="s">
        <v>246</v>
      </c>
      <c r="D62" s="96" t="s">
        <v>53</v>
      </c>
      <c r="E62" s="96" t="s">
        <v>83</v>
      </c>
      <c r="F62" s="120"/>
      <c r="G62" s="120">
        <v>20951</v>
      </c>
      <c r="H62" s="120">
        <v>42143</v>
      </c>
      <c r="I62" s="96" t="s">
        <v>24</v>
      </c>
      <c r="J62" s="96" t="s">
        <v>72</v>
      </c>
      <c r="K62" s="134"/>
      <c r="L62" s="134">
        <v>110</v>
      </c>
      <c r="M62" s="126">
        <f>IF(StaffInfo[[#This Row],[Part/Full]]="F",(StaffInfo[[#This Row],[Basic Pay]]*12)/(52*44),(StaffInfo[[#This Row],[Day Rate]]/$H$1))</f>
        <v>9.1666666666666661</v>
      </c>
      <c r="N62" s="123">
        <f ca="1">YEARFRAC(StaffInfo[[#This Row],[Date of Birth]],TODAY(),1)</f>
        <v>61.101965113711636</v>
      </c>
      <c r="O62" s="123" t="str">
        <f ca="1">IF(StaffInfo[[#This Row],[Start date of PR]]="", "NA", YEARFRAC(StaffInfo[[#This Row],[Start date of PR]],TODAY(),1))</f>
        <v>NA</v>
      </c>
      <c r="P62" s="123">
        <f ca="1">YEARFRAC(StaffInfo[[#This Row],[Date employed]],TODAY(),1)</f>
        <v>3.0800821355236141</v>
      </c>
      <c r="Q62" s="96">
        <f>IF(StaffInfo[[#This Row],[Part/Full]]="F",IF(StaffInfo[[#This Row],[Years in co]]&gt;10,18,IF(StaffInfo[[#This Row],[Years in co]]&gt;7,17,IF(StaffInfo[[#This Row],[Years in co]]&gt;5,16,IF(StaffInfo[[#This Row],[Years in co]]&gt;3,15,14)))),0)</f>
        <v>0</v>
      </c>
    </row>
    <row r="63" spans="1:17" x14ac:dyDescent="0.35">
      <c r="A63" s="167" t="s">
        <v>83</v>
      </c>
      <c r="B63" s="96" t="s">
        <v>59</v>
      </c>
      <c r="C63" s="124" t="s">
        <v>247</v>
      </c>
      <c r="D63" s="96" t="s">
        <v>54</v>
      </c>
      <c r="E63" s="96" t="s">
        <v>83</v>
      </c>
      <c r="F63" s="120"/>
      <c r="G63" s="120">
        <v>20962</v>
      </c>
      <c r="H63" s="120">
        <v>42144</v>
      </c>
      <c r="I63" s="96" t="s">
        <v>22</v>
      </c>
      <c r="J63" s="96" t="s">
        <v>72</v>
      </c>
      <c r="K63" s="134"/>
      <c r="L63" s="134">
        <v>100</v>
      </c>
      <c r="M63" s="126">
        <f>IF(StaffInfo[[#This Row],[Part/Full]]="F",(StaffInfo[[#This Row],[Basic Pay]]*12)/(52*44),(StaffInfo[[#This Row],[Day Rate]]/$H$1))</f>
        <v>8.3333333333333339</v>
      </c>
      <c r="N63" s="123">
        <f ca="1">YEARFRAC(StaffInfo[[#This Row],[Date of Birth]],TODAY(),1)</f>
        <v>61.071848090086114</v>
      </c>
      <c r="O63" s="123" t="str">
        <f ca="1">IF(StaffInfo[[#This Row],[Start date of PR]]="", "NA", YEARFRAC(StaffInfo[[#This Row],[Start date of PR]],TODAY(),1))</f>
        <v>NA</v>
      </c>
      <c r="P63" s="123">
        <f ca="1">YEARFRAC(StaffInfo[[#This Row],[Date employed]],TODAY(),1)</f>
        <v>3.077344284736482</v>
      </c>
      <c r="Q63" s="96">
        <f>IF(StaffInfo[[#This Row],[Part/Full]]="F",IF(StaffInfo[[#This Row],[Years in co]]&gt;10,18,IF(StaffInfo[[#This Row],[Years in co]]&gt;7,17,IF(StaffInfo[[#This Row],[Years in co]]&gt;5,16,IF(StaffInfo[[#This Row],[Years in co]]&gt;3,15,14)))),0)</f>
        <v>0</v>
      </c>
    </row>
    <row r="64" spans="1:17" x14ac:dyDescent="0.35">
      <c r="A64" s="167" t="s">
        <v>83</v>
      </c>
      <c r="B64" s="96" t="s">
        <v>63</v>
      </c>
      <c r="C64" s="124" t="s">
        <v>248</v>
      </c>
      <c r="D64" s="96" t="s">
        <v>53</v>
      </c>
      <c r="E64" s="96" t="s">
        <v>83</v>
      </c>
      <c r="F64" s="120"/>
      <c r="G64" s="120">
        <v>20597</v>
      </c>
      <c r="H64" s="120">
        <v>42145</v>
      </c>
      <c r="I64" s="96" t="s">
        <v>22</v>
      </c>
      <c r="J64" s="96" t="s">
        <v>72</v>
      </c>
      <c r="K64" s="134"/>
      <c r="L64" s="134">
        <v>110</v>
      </c>
      <c r="M64" s="126">
        <f>IF(StaffInfo[[#This Row],[Part/Full]]="F",(StaffInfo[[#This Row],[Basic Pay]]*12)/(52*44),(StaffInfo[[#This Row],[Day Rate]]/$H$1))</f>
        <v>9.1666666666666661</v>
      </c>
      <c r="N64" s="123">
        <f ca="1">YEARFRAC(StaffInfo[[#This Row],[Date of Birth]],TODAY(),1)</f>
        <v>62.069140845682497</v>
      </c>
      <c r="O64" s="123" t="str">
        <f ca="1">IF(StaffInfo[[#This Row],[Start date of PR]]="", "NA", YEARFRAC(StaffInfo[[#This Row],[Start date of PR]],TODAY(),1))</f>
        <v>NA</v>
      </c>
      <c r="P64" s="123">
        <f ca="1">YEARFRAC(StaffInfo[[#This Row],[Date employed]],TODAY(),1)</f>
        <v>3.07460643394935</v>
      </c>
      <c r="Q64" s="96">
        <f>IF(StaffInfo[[#This Row],[Part/Full]]="F",IF(StaffInfo[[#This Row],[Years in co]]&gt;10,18,IF(StaffInfo[[#This Row],[Years in co]]&gt;7,17,IF(StaffInfo[[#This Row],[Years in co]]&gt;5,16,IF(StaffInfo[[#This Row],[Years in co]]&gt;3,15,14)))),0)</f>
        <v>0</v>
      </c>
    </row>
    <row r="65" spans="1:17" x14ac:dyDescent="0.35">
      <c r="A65" s="167" t="s">
        <v>83</v>
      </c>
      <c r="B65" s="96" t="s">
        <v>64</v>
      </c>
      <c r="C65" s="124" t="s">
        <v>249</v>
      </c>
      <c r="D65" s="96" t="s">
        <v>55</v>
      </c>
      <c r="E65" s="96" t="s">
        <v>83</v>
      </c>
      <c r="F65" s="120"/>
      <c r="G65" s="120">
        <v>20589</v>
      </c>
      <c r="H65" s="120">
        <v>42146</v>
      </c>
      <c r="I65" s="96" t="s">
        <v>24</v>
      </c>
      <c r="J65" s="96" t="s">
        <v>22</v>
      </c>
      <c r="K65" s="134">
        <v>1700</v>
      </c>
      <c r="L65" s="134"/>
      <c r="M65" s="126">
        <f>IF(StaffInfo[[#This Row],[Part/Full]]="F",(StaffInfo[[#This Row],[Basic Pay]]*12)/(52*44),(StaffInfo[[#This Row],[Day Rate]]/$H$1))</f>
        <v>8.9160839160839167</v>
      </c>
      <c r="N65" s="123">
        <f ca="1">YEARFRAC(StaffInfo[[#This Row],[Date of Birth]],TODAY(),1)</f>
        <v>62.091043414019381</v>
      </c>
      <c r="O65" s="123" t="str">
        <f ca="1">IF(StaffInfo[[#This Row],[Start date of PR]]="", "NA", YEARFRAC(StaffInfo[[#This Row],[Start date of PR]],TODAY(),1))</f>
        <v>NA</v>
      </c>
      <c r="P65" s="123">
        <f ca="1">YEARFRAC(StaffInfo[[#This Row],[Date employed]],TODAY(),1)</f>
        <v>3.0718685831622174</v>
      </c>
      <c r="Q65" s="96">
        <f ca="1">IF(StaffInfo[[#This Row],[Part/Full]]="F",IF(StaffInfo[[#This Row],[Years in co]]&gt;10,18,IF(StaffInfo[[#This Row],[Years in co]]&gt;7,17,IF(StaffInfo[[#This Row],[Years in co]]&gt;5,16,IF(StaffInfo[[#This Row],[Years in co]]&gt;3,15,14)))),0)</f>
        <v>15</v>
      </c>
    </row>
    <row r="66" spans="1:17" x14ac:dyDescent="0.35">
      <c r="A66" s="170" t="s">
        <v>83</v>
      </c>
      <c r="B66" s="96" t="s">
        <v>60</v>
      </c>
      <c r="C66" s="124" t="s">
        <v>250</v>
      </c>
      <c r="D66" s="96" t="s">
        <v>54</v>
      </c>
      <c r="E66" s="96" t="s">
        <v>83</v>
      </c>
      <c r="F66" s="120"/>
      <c r="G66" s="120">
        <v>19129</v>
      </c>
      <c r="H66" s="120">
        <v>42147</v>
      </c>
      <c r="I66" s="96" t="s">
        <v>22</v>
      </c>
      <c r="J66" s="96" t="s">
        <v>72</v>
      </c>
      <c r="K66" s="134"/>
      <c r="L66" s="134">
        <v>100</v>
      </c>
      <c r="M66" s="126">
        <f>IF(StaffInfo[[#This Row],[Part/Full]]="F",(StaffInfo[[#This Row],[Basic Pay]]*12)/(52*44),(StaffInfo[[#This Row],[Day Rate]]/$H$1))</f>
        <v>8.3333333333333339</v>
      </c>
      <c r="N66" s="123">
        <f ca="1">YEARFRAC(StaffInfo[[#This Row],[Date of Birth]],TODAY(),1)</f>
        <v>66.088305001634524</v>
      </c>
      <c r="O66" s="123" t="str">
        <f ca="1">IF(StaffInfo[[#This Row],[Start date of PR]]="", "NA", YEARFRAC(StaffInfo[[#This Row],[Start date of PR]],TODAY(),1))</f>
        <v>NA</v>
      </c>
      <c r="P66" s="123">
        <f ca="1">YEARFRAC(StaffInfo[[#This Row],[Date employed]],TODAY(),1)</f>
        <v>3.0691307323750854</v>
      </c>
      <c r="Q66" s="96">
        <f>IF(StaffInfo[[#This Row],[Part/Full]]="F",IF(StaffInfo[[#This Row],[Years in co]]&gt;10,18,IF(StaffInfo[[#This Row],[Years in co]]&gt;7,17,IF(StaffInfo[[#This Row],[Years in co]]&gt;5,16,IF(StaffInfo[[#This Row],[Years in co]]&gt;3,15,14)))),0)</f>
        <v>0</v>
      </c>
    </row>
    <row r="67" spans="1:17" x14ac:dyDescent="0.35">
      <c r="A67" s="170" t="s">
        <v>83</v>
      </c>
      <c r="B67" s="96" t="s">
        <v>61</v>
      </c>
      <c r="C67" s="124" t="s">
        <v>251</v>
      </c>
      <c r="D67" s="96" t="s">
        <v>54</v>
      </c>
      <c r="E67" s="96" t="s">
        <v>83</v>
      </c>
      <c r="F67" s="120"/>
      <c r="G67" s="120">
        <v>19130</v>
      </c>
      <c r="H67" s="120">
        <v>42148</v>
      </c>
      <c r="I67" s="96" t="s">
        <v>22</v>
      </c>
      <c r="J67" s="96" t="s">
        <v>72</v>
      </c>
      <c r="K67" s="134"/>
      <c r="L67" s="134">
        <v>100</v>
      </c>
      <c r="M67" s="126">
        <f>IF(StaffInfo[[#This Row],[Part/Full]]="F",(StaffInfo[[#This Row],[Basic Pay]]*12)/(52*44),(StaffInfo[[#This Row],[Day Rate]]/$H$1))</f>
        <v>8.3333333333333339</v>
      </c>
      <c r="N67" s="123">
        <f ca="1">YEARFRAC(StaffInfo[[#This Row],[Date of Birth]],TODAY(),1)</f>
        <v>66.085567178816603</v>
      </c>
      <c r="O67" s="123" t="str">
        <f ca="1">IF(StaffInfo[[#This Row],[Start date of PR]]="", "NA", YEARFRAC(StaffInfo[[#This Row],[Start date of PR]],TODAY(),1))</f>
        <v>NA</v>
      </c>
      <c r="P67" s="123">
        <f ca="1">YEARFRAC(StaffInfo[[#This Row],[Date employed]],TODAY(),1)</f>
        <v>3.0663928815879533</v>
      </c>
      <c r="Q67" s="96">
        <f>IF(StaffInfo[[#This Row],[Part/Full]]="F",IF(StaffInfo[[#This Row],[Years in co]]&gt;10,18,IF(StaffInfo[[#This Row],[Years in co]]&gt;7,17,IF(StaffInfo[[#This Row],[Years in co]]&gt;5,16,IF(StaffInfo[[#This Row],[Years in co]]&gt;3,15,14)))),0)</f>
        <v>0</v>
      </c>
    </row>
    <row r="68" spans="1:17" x14ac:dyDescent="0.35">
      <c r="A68" s="170" t="s">
        <v>83</v>
      </c>
      <c r="B68" s="96" t="s">
        <v>71</v>
      </c>
      <c r="C68" s="124" t="s">
        <v>252</v>
      </c>
      <c r="D68" s="96" t="s">
        <v>53</v>
      </c>
      <c r="E68" s="96" t="s">
        <v>83</v>
      </c>
      <c r="F68" s="120"/>
      <c r="G68" s="120">
        <v>19095</v>
      </c>
      <c r="H68" s="120">
        <v>42149</v>
      </c>
      <c r="I68" s="96" t="s">
        <v>24</v>
      </c>
      <c r="J68" s="96" t="s">
        <v>72</v>
      </c>
      <c r="K68" s="134"/>
      <c r="L68" s="134">
        <v>110</v>
      </c>
      <c r="M68" s="134">
        <f>IF(StaffInfo[[#This Row],[Part/Full]]="F",(StaffInfo[[#This Row],[Basic Pay]]*12)/(52*44),(StaffInfo[[#This Row],[Day Rate]]/$H$1))</f>
        <v>9.1666666666666661</v>
      </c>
      <c r="N68" s="123">
        <f ca="1">YEARFRAC(StaffInfo[[#This Row],[Date of Birth]],TODAY(),1)</f>
        <v>66.181390977443613</v>
      </c>
      <c r="O68" s="123" t="str">
        <f ca="1">IF(StaffInfo[[#This Row],[Start date of PR]]="", "NA", YEARFRAC(StaffInfo[[#This Row],[Start date of PR]],TODAY(),1))</f>
        <v>NA</v>
      </c>
      <c r="P68" s="123">
        <f ca="1">YEARFRAC(StaffInfo[[#This Row],[Date employed]],TODAY(),1)</f>
        <v>3.0636550308008212</v>
      </c>
      <c r="Q68" s="96">
        <f>IF(StaffInfo[[#This Row],[Part/Full]]="F",IF(StaffInfo[[#This Row],[Years in co]]&gt;10,18,IF(StaffInfo[[#This Row],[Years in co]]&gt;7,17,IF(StaffInfo[[#This Row],[Years in co]]&gt;5,16,IF(StaffInfo[[#This Row],[Years in co]]&gt;3,15,14)))),0)</f>
        <v>0</v>
      </c>
    </row>
    <row r="69" spans="1:17" x14ac:dyDescent="0.35">
      <c r="A69" s="170" t="s">
        <v>83</v>
      </c>
      <c r="B69" s="96" t="s">
        <v>73</v>
      </c>
      <c r="C69" s="124" t="s">
        <v>253</v>
      </c>
      <c r="D69" s="96" t="s">
        <v>54</v>
      </c>
      <c r="E69" s="96" t="s">
        <v>83</v>
      </c>
      <c r="F69" s="120"/>
      <c r="G69" s="120">
        <v>18729</v>
      </c>
      <c r="H69" s="120">
        <v>42150</v>
      </c>
      <c r="I69" s="96" t="s">
        <v>24</v>
      </c>
      <c r="J69" s="96" t="s">
        <v>22</v>
      </c>
      <c r="K69" s="134">
        <v>1100</v>
      </c>
      <c r="L69" s="134"/>
      <c r="M69" s="134">
        <f>IF(StaffInfo[[#This Row],[Part/Full]]="F",(StaffInfo[[#This Row],[Basic Pay]]*12)/(52*44),(StaffInfo[[#This Row],[Day Rate]]/$H$1))</f>
        <v>5.7692307692307692</v>
      </c>
      <c r="N69" s="123">
        <f ca="1">YEARFRAC(StaffInfo[[#This Row],[Date of Birth]],TODAY(),1)</f>
        <v>67.184120465434631</v>
      </c>
      <c r="O69" s="123" t="str">
        <f ca="1">IF(StaffInfo[[#This Row],[Start date of PR]]="", "NA", YEARFRAC(StaffInfo[[#This Row],[Start date of PR]],TODAY(),1))</f>
        <v>NA</v>
      </c>
      <c r="P69" s="123">
        <f ca="1">YEARFRAC(StaffInfo[[#This Row],[Date employed]],TODAY(),1)</f>
        <v>3.0609171800136892</v>
      </c>
      <c r="Q69" s="96">
        <f ca="1">IF(StaffInfo[[#This Row],[Part/Full]]="F",IF(StaffInfo[[#This Row],[Years in co]]&gt;10,18,IF(StaffInfo[[#This Row],[Years in co]]&gt;7,17,IF(StaffInfo[[#This Row],[Years in co]]&gt;5,16,IF(StaffInfo[[#This Row],[Years in co]]&gt;3,15,14)))),0)</f>
        <v>15</v>
      </c>
    </row>
  </sheetData>
  <dataValidations count="7">
    <dataValidation type="date" operator="lessThanOrEqual" allowBlank="1" showInputMessage="1" showErrorMessage="1" errorTitle="Invalid Date" error="Start date of employment should be today or before today" sqref="H4:H1048576" xr:uid="{6CEC587A-E841-4555-98BD-B97EF05287EF}">
      <formula1>TODAY()</formula1>
    </dataValidation>
    <dataValidation type="date" operator="lessThanOrEqual" allowBlank="1" showInputMessage="1" showErrorMessage="1" errorTitle="Invalid Date" error="Date entered should be before today" sqref="F1:F2 F4:F1048576" xr:uid="{C19C2B96-40F5-44B5-BE16-690A91D04BC2}">
      <formula1>TODAY()</formula1>
    </dataValidation>
    <dataValidation type="date" operator="lessThanOrEqual" allowBlank="1" showInputMessage="1" showErrorMessage="1" sqref="G4:G1048576" xr:uid="{E1D24D52-8C93-4B01-96C9-0F0BD0A75999}">
      <formula1>TODAY()</formula1>
    </dataValidation>
    <dataValidation type="decimal" operator="greaterThan" allowBlank="1" showInputMessage="1" showErrorMessage="1" sqref="L4:L1048576" xr:uid="{0EDEEBDB-4466-42A4-B166-197E80128C74}">
      <formula1>0</formula1>
    </dataValidation>
    <dataValidation type="decimal" operator="greaterThan" allowBlank="1" showInputMessage="1" showErrorMessage="1" errorTitle="PD" error="DDD" sqref="K4:K1048576" xr:uid="{A1DB7FCC-0AC9-4A3A-9279-D468CDB1E4A4}">
      <formula1>0</formula1>
    </dataValidation>
    <dataValidation type="decimal" operator="lessThanOrEqual" allowBlank="1" showInputMessage="1" showErrorMessage="1" errorTitle="Invalid Date" error="Start date of employment should be today or before today" sqref="H1" xr:uid="{5831D42E-84BA-48B8-B1D1-EFD3BDD9B3BD}">
      <formula1>24</formula1>
    </dataValidation>
    <dataValidation type="whole" allowBlank="1" showInputMessage="1" showErrorMessage="1" errorTitle="Days entered out of range" error="Working days should be at least 14 days, up to a maximum of 27 days within a month_x000a_" sqref="C1" xr:uid="{FE6FACD2-1726-404C-A37A-BEB7EADFA1C2}">
      <formula1>14</formula1>
      <formula2>27</formula2>
    </dataValidation>
  </dataValidations>
  <pageMargins left="0.7" right="0.7" top="0.75" bottom="0.75" header="0.3" footer="0.3"/>
  <pageSetup paperSize="9"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F97EE-815E-4854-B79C-5969219F9677}">
  <sheetPr codeName="Sheet6">
    <tabColor rgb="FF00B050"/>
  </sheetPr>
  <dimension ref="B1:L53"/>
  <sheetViews>
    <sheetView zoomScaleNormal="100" workbookViewId="0">
      <pane xSplit="1" ySplit="3" topLeftCell="B37" activePane="bottomRight" state="frozen"/>
      <selection pane="topRight" activeCell="B1" sqref="B1"/>
      <selection pane="bottomLeft" activeCell="A4" sqref="A4"/>
      <selection pane="bottomRight" activeCell="I53" sqref="I53"/>
    </sheetView>
  </sheetViews>
  <sheetFormatPr defaultRowHeight="14.5" x14ac:dyDescent="0.35"/>
  <cols>
    <col min="1" max="1" width="3.7265625" customWidth="1"/>
    <col min="2" max="2" width="11.6328125" style="2" bestFit="1" customWidth="1"/>
    <col min="3" max="3" width="13.26953125" style="2" customWidth="1"/>
    <col min="4" max="4" width="6.36328125" style="2" bestFit="1" customWidth="1"/>
    <col min="5" max="5" width="11.08984375" style="2" customWidth="1"/>
    <col min="6" max="6" width="13.54296875" style="2" bestFit="1" customWidth="1"/>
    <col min="7" max="7" width="5.6328125" style="2" bestFit="1" customWidth="1"/>
    <col min="8" max="8" width="12.54296875" style="127" bestFit="1" customWidth="1"/>
    <col min="9" max="9" width="13.6328125" style="127" bestFit="1" customWidth="1"/>
    <col min="10" max="10" width="4.7265625" customWidth="1"/>
    <col min="11" max="11" width="16.54296875" bestFit="1" customWidth="1"/>
  </cols>
  <sheetData>
    <row r="1" spans="2:12" x14ac:dyDescent="0.35">
      <c r="B1" s="144" t="s">
        <v>90</v>
      </c>
      <c r="C1" s="155">
        <v>550.00199999999995</v>
      </c>
      <c r="E1" s="144" t="s">
        <v>82</v>
      </c>
      <c r="F1" s="146" t="s">
        <v>160</v>
      </c>
      <c r="G1" s="136"/>
      <c r="H1" s="151" t="s">
        <v>39</v>
      </c>
      <c r="I1" s="157">
        <v>61.099227202473003</v>
      </c>
      <c r="K1" s="145" t="s">
        <v>100</v>
      </c>
      <c r="L1" s="156">
        <v>1.5</v>
      </c>
    </row>
    <row r="2" spans="2:12" ht="15" thickBot="1" x14ac:dyDescent="0.4"/>
    <row r="3" spans="2:12" ht="15" thickBot="1" x14ac:dyDescent="0.4">
      <c r="B3" s="327" t="s">
        <v>85</v>
      </c>
      <c r="C3" s="328"/>
      <c r="D3" s="338" t="s">
        <v>39</v>
      </c>
      <c r="E3" s="339"/>
      <c r="F3" s="338" t="s">
        <v>93</v>
      </c>
      <c r="G3" s="339"/>
      <c r="H3" s="184" t="s">
        <v>92</v>
      </c>
      <c r="I3" s="185" t="s">
        <v>91</v>
      </c>
    </row>
    <row r="4" spans="2:12" ht="15" thickBot="1" x14ac:dyDescent="0.4">
      <c r="B4" s="188" t="s">
        <v>117</v>
      </c>
      <c r="C4" s="189" t="s">
        <v>99</v>
      </c>
      <c r="D4" s="190" t="s">
        <v>117</v>
      </c>
      <c r="E4" s="189" t="s">
        <v>99</v>
      </c>
      <c r="F4" s="190" t="s">
        <v>117</v>
      </c>
      <c r="G4" s="189" t="s">
        <v>99</v>
      </c>
      <c r="H4" s="191" t="s">
        <v>99</v>
      </c>
      <c r="I4" s="192" t="s">
        <v>99</v>
      </c>
    </row>
    <row r="5" spans="2:12" x14ac:dyDescent="0.35">
      <c r="B5" s="337" t="s">
        <v>154</v>
      </c>
      <c r="C5" s="334" t="b">
        <f>IF($F$1="PR1",TRUE,FALSE)</f>
        <v>1</v>
      </c>
      <c r="D5" s="336" t="s">
        <v>86</v>
      </c>
      <c r="E5" s="334" t="b">
        <f>IF(AND($I$1&lt;55, $C$5=TRUE), TRUE, FALSE)</f>
        <v>0</v>
      </c>
      <c r="F5" s="161" t="s">
        <v>94</v>
      </c>
      <c r="G5" s="161" t="b">
        <f>IF(AND($C$1&lt;50, $E$5=TRUE),TRUE,FALSE)</f>
        <v>0</v>
      </c>
      <c r="H5" s="153" t="b">
        <f>IF(G5=TRUE,0,FALSE)</f>
        <v>0</v>
      </c>
      <c r="I5" s="153" t="b">
        <f>IF(G5=TRUE,0,FALSE)</f>
        <v>0</v>
      </c>
    </row>
    <row r="6" spans="2:12" x14ac:dyDescent="0.35">
      <c r="B6" s="337"/>
      <c r="C6" s="334"/>
      <c r="D6" s="342"/>
      <c r="E6" s="334"/>
      <c r="F6" s="138" t="s">
        <v>95</v>
      </c>
      <c r="G6" s="138" t="b">
        <f>IF(AND($C$1&gt;50,$C$1&lt;=500,$E$5=TRUE),TRUE,FALSE)</f>
        <v>0</v>
      </c>
      <c r="H6" s="153" t="b">
        <f>IF(G6=TRUE,0,FALSE)</f>
        <v>0</v>
      </c>
      <c r="I6" s="153" t="b">
        <f>IF(G6=TRUE,0.17*$C$1,FALSE)</f>
        <v>0</v>
      </c>
    </row>
    <row r="7" spans="2:12" x14ac:dyDescent="0.35">
      <c r="B7" s="337"/>
      <c r="C7" s="334"/>
      <c r="D7" s="342"/>
      <c r="E7" s="334"/>
      <c r="F7" s="138" t="s">
        <v>96</v>
      </c>
      <c r="G7" s="138" t="b">
        <f>IF(AND($C$1&gt;500,$C$1&lt;=749.99,$E$5=TRUE),TRUE,FALSE)</f>
        <v>0</v>
      </c>
      <c r="H7" s="153" t="b">
        <f>IF(G7=TRUE,0.15*($C$1-500),FALSE)</f>
        <v>0</v>
      </c>
      <c r="I7" s="153" t="b">
        <f>IF(G7=TRUE,0.17*$C$1,FALSE)</f>
        <v>0</v>
      </c>
    </row>
    <row r="8" spans="2:12" x14ac:dyDescent="0.35">
      <c r="B8" s="337"/>
      <c r="C8" s="334"/>
      <c r="D8" s="342"/>
      <c r="E8" s="335"/>
      <c r="F8" s="140" t="s">
        <v>97</v>
      </c>
      <c r="G8" s="138" t="b">
        <f>IF(AND($C$1&gt;750,$E$5=TRUE),TRUE,FALSE)</f>
        <v>0</v>
      </c>
      <c r="H8" s="154" t="b">
        <f>IF(G8=TRUE,MIN($C$1*0.05,300),FALSE)</f>
        <v>0</v>
      </c>
      <c r="I8" s="154" t="b">
        <f>IF(G8=TRUE,MIN($C$1*0.17,1020),FALSE)</f>
        <v>0</v>
      </c>
    </row>
    <row r="9" spans="2:12" x14ac:dyDescent="0.35">
      <c r="B9" s="337"/>
      <c r="C9" s="334"/>
      <c r="D9" s="342" t="s">
        <v>87</v>
      </c>
      <c r="E9" s="333" t="b">
        <f>IF(AND($I$1&gt;=55,$I$1&lt;60,$C$5=TRUE),TRUE,FALSE)</f>
        <v>0</v>
      </c>
      <c r="F9" s="137" t="s">
        <v>94</v>
      </c>
      <c r="G9" s="137" t="b">
        <f>IF(AND($C$1&lt;50, $E$9=TRUE),TRUE,FALSE)</f>
        <v>0</v>
      </c>
      <c r="H9" s="152" t="b">
        <f>IF(G9=TRUE,0,FALSE)</f>
        <v>0</v>
      </c>
      <c r="I9" s="152" t="b">
        <f>IF(G9=TRUE,0,FALSE)</f>
        <v>0</v>
      </c>
    </row>
    <row r="10" spans="2:12" x14ac:dyDescent="0.35">
      <c r="B10" s="337"/>
      <c r="C10" s="334"/>
      <c r="D10" s="342"/>
      <c r="E10" s="334"/>
      <c r="F10" s="138" t="s">
        <v>95</v>
      </c>
      <c r="G10" s="138" t="b">
        <f>IF(AND($C$1&gt;50,$C$1&lt;=500,$E$9=TRUE),TRUE,FALSE)</f>
        <v>0</v>
      </c>
      <c r="H10" s="153" t="b">
        <f>IF(G10=TRUE,0,FALSE)</f>
        <v>0</v>
      </c>
      <c r="I10" s="153" t="b">
        <f>IF(G10=TRUE,0.13*$C$1,FALSE)</f>
        <v>0</v>
      </c>
    </row>
    <row r="11" spans="2:12" x14ac:dyDescent="0.35">
      <c r="B11" s="337"/>
      <c r="C11" s="334"/>
      <c r="D11" s="342"/>
      <c r="E11" s="334"/>
      <c r="F11" s="138" t="s">
        <v>96</v>
      </c>
      <c r="G11" s="138" t="b">
        <f>IF(AND($C$1&gt;500,$C$1&lt;=749.99,$E$9=TRUE),TRUE,FALSE)</f>
        <v>0</v>
      </c>
      <c r="H11" s="153" t="b">
        <f>IF(G11=TRUE,0.15*($C$1-500),FALSE)</f>
        <v>0</v>
      </c>
      <c r="I11" s="153" t="b">
        <f>IF(G11=TRUE,0.13*$C$1,FALSE)</f>
        <v>0</v>
      </c>
    </row>
    <row r="12" spans="2:12" x14ac:dyDescent="0.35">
      <c r="B12" s="337"/>
      <c r="C12" s="334"/>
      <c r="D12" s="342"/>
      <c r="E12" s="336"/>
      <c r="F12" s="140" t="s">
        <v>97</v>
      </c>
      <c r="G12" s="138" t="b">
        <f>IF(AND($C$1&gt;750,$E$9=TRUE),TRUE,FALSE)</f>
        <v>0</v>
      </c>
      <c r="H12" s="154" t="b">
        <f>IF(F12=TRUE,MIN($C$1*0.05,300),FALSE)</f>
        <v>0</v>
      </c>
      <c r="I12" s="154" t="b">
        <f>IF(G12=TRUE,MIN($C$1*0.13,780),FALSE)</f>
        <v>0</v>
      </c>
    </row>
    <row r="13" spans="2:12" x14ac:dyDescent="0.35">
      <c r="B13" s="337"/>
      <c r="C13" s="334"/>
      <c r="D13" s="342" t="s">
        <v>88</v>
      </c>
      <c r="E13" s="333" t="b">
        <f>IF(AND($I$1&gt;=60,$I$1&lt;65,$C$5=TRUE),TRUE,FALSE)</f>
        <v>1</v>
      </c>
      <c r="F13" s="137" t="s">
        <v>94</v>
      </c>
      <c r="G13" s="137" t="b">
        <f>IF(AND($C$1&lt;50, $E$13=TRUE),TRUE,FALSE)</f>
        <v>0</v>
      </c>
      <c r="H13" s="152" t="b">
        <f>IF(G13=TRUE,0,FALSE)</f>
        <v>0</v>
      </c>
      <c r="I13" s="152" t="b">
        <f>IF(G13=TRUE,0,FALSE)</f>
        <v>0</v>
      </c>
    </row>
    <row r="14" spans="2:12" x14ac:dyDescent="0.35">
      <c r="B14" s="337"/>
      <c r="C14" s="334"/>
      <c r="D14" s="342"/>
      <c r="E14" s="334"/>
      <c r="F14" s="138" t="s">
        <v>95</v>
      </c>
      <c r="G14" s="138" t="b">
        <f>IF(AND($C$1&gt;50,$C$1&lt;=500,$E$13=TRUE),TRUE,FALSE)</f>
        <v>0</v>
      </c>
      <c r="H14" s="153" t="b">
        <f>IF(G14=TRUE,0,FALSE)</f>
        <v>0</v>
      </c>
      <c r="I14" s="153" t="b">
        <f>IF(G14=TRUE,0.09*$C$1,FALSE)</f>
        <v>0</v>
      </c>
    </row>
    <row r="15" spans="2:12" x14ac:dyDescent="0.35">
      <c r="B15" s="337"/>
      <c r="C15" s="334"/>
      <c r="D15" s="342"/>
      <c r="E15" s="334"/>
      <c r="F15" s="138" t="s">
        <v>96</v>
      </c>
      <c r="G15" s="138" t="b">
        <f>IF(AND($C$1&gt;500,$C$1&lt;=749.99,$E$13=TRUE),TRUE,FALSE)</f>
        <v>1</v>
      </c>
      <c r="H15" s="153">
        <f>IF(G15=TRUE,0.15*($C$1-500),FALSE)</f>
        <v>7.5002999999999922</v>
      </c>
      <c r="I15" s="153">
        <f>IF(G15=TRUE,0.09*$C$1,FALSE)</f>
        <v>49.500179999999993</v>
      </c>
    </row>
    <row r="16" spans="2:12" x14ac:dyDescent="0.35">
      <c r="B16" s="337"/>
      <c r="C16" s="334"/>
      <c r="D16" s="342"/>
      <c r="E16" s="336"/>
      <c r="F16" s="140" t="s">
        <v>97</v>
      </c>
      <c r="G16" s="138" t="b">
        <f>IF(AND($C$1&gt;750,$E$13=TRUE),TRUE,FALSE)</f>
        <v>0</v>
      </c>
      <c r="H16" s="154" t="b">
        <f>IF(G16=TRUE,MIN($C$1*0.05,300),FALSE)</f>
        <v>0</v>
      </c>
      <c r="I16" s="154" t="b">
        <f>IF(G16=TRUE,MIN($C$1*0.09,540),FALSE)</f>
        <v>0</v>
      </c>
    </row>
    <row r="17" spans="2:9" x14ac:dyDescent="0.35">
      <c r="B17" s="337"/>
      <c r="C17" s="334"/>
      <c r="D17" s="334" t="s">
        <v>89</v>
      </c>
      <c r="E17" s="333" t="b">
        <f>IF(AND($I$1&gt;=65,$C$5=TRUE),TRUE,FALSE)</f>
        <v>0</v>
      </c>
      <c r="F17" s="137" t="s">
        <v>94</v>
      </c>
      <c r="G17" s="137" t="b">
        <f>IF(AND($C$1&lt;50, $E$17=TRUE),TRUE,FALSE)</f>
        <v>0</v>
      </c>
      <c r="H17" s="152" t="b">
        <f>IF(G17=TRUE,0,FALSE)</f>
        <v>0</v>
      </c>
      <c r="I17" s="152" t="b">
        <f>IF(G17=TRUE,0,FALSE)</f>
        <v>0</v>
      </c>
    </row>
    <row r="18" spans="2:9" x14ac:dyDescent="0.35">
      <c r="B18" s="337"/>
      <c r="C18" s="334"/>
      <c r="D18" s="334"/>
      <c r="E18" s="334"/>
      <c r="F18" s="138" t="s">
        <v>95</v>
      </c>
      <c r="G18" s="138" t="b">
        <f>IF(AND($C$1&gt;50,$C$1&lt;=500,$E$17=TRUE),TRUE,FALSE)</f>
        <v>0</v>
      </c>
      <c r="H18" s="153" t="b">
        <f>IF(G18=TRUE,0,FALSE)</f>
        <v>0</v>
      </c>
      <c r="I18" s="153" t="b">
        <f>IF(G18=TRUE,0.075*$C$1,FALSE)</f>
        <v>0</v>
      </c>
    </row>
    <row r="19" spans="2:9" x14ac:dyDescent="0.35">
      <c r="B19" s="337"/>
      <c r="C19" s="334"/>
      <c r="D19" s="334"/>
      <c r="E19" s="334"/>
      <c r="F19" s="138" t="s">
        <v>96</v>
      </c>
      <c r="G19" s="138" t="b">
        <f>IF(AND($C$1&gt;500,$C$1&lt;=749.99,$E$17=TRUE),TRUE,FALSE)</f>
        <v>0</v>
      </c>
      <c r="H19" s="153" t="b">
        <f>IF(G19=TRUE,0.15*($C$1-500),FALSE)</f>
        <v>0</v>
      </c>
      <c r="I19" s="153" t="b">
        <f>IF(G19=TRUE,0.075*$C$1,FALSE)</f>
        <v>0</v>
      </c>
    </row>
    <row r="20" spans="2:9" x14ac:dyDescent="0.35">
      <c r="B20" s="337"/>
      <c r="C20" s="336"/>
      <c r="D20" s="336"/>
      <c r="E20" s="336"/>
      <c r="F20" s="139" t="s">
        <v>97</v>
      </c>
      <c r="G20" s="139" t="b">
        <f>IF(AND($C$1&gt;750,$E$17=TRUE),TRUE,FALSE)</f>
        <v>0</v>
      </c>
      <c r="H20" s="154" t="b">
        <f>IF(G20=TRUE,MIN($C$1*0.05,300),FALSE)</f>
        <v>0</v>
      </c>
      <c r="I20" s="154" t="b">
        <f>IF(G20=TRUE,MIN($C$1*0.075,450),FALSE)</f>
        <v>0</v>
      </c>
    </row>
    <row r="21" spans="2:9" x14ac:dyDescent="0.35">
      <c r="B21" s="331" t="s">
        <v>155</v>
      </c>
      <c r="C21" s="333" t="b">
        <f>IF($F$1="PR2",TRUE,FALSE)</f>
        <v>0</v>
      </c>
      <c r="D21" s="342" t="s">
        <v>86</v>
      </c>
      <c r="E21" s="333" t="b">
        <f>IF(AND($I$1&lt;55, $C$21=TRUE), TRUE, FALSE)</f>
        <v>0</v>
      </c>
      <c r="F21" s="141" t="s">
        <v>94</v>
      </c>
      <c r="G21" s="141" t="b">
        <f>IF(AND($C$1&lt;50, $E$21=TRUE),TRUE,FALSE)</f>
        <v>0</v>
      </c>
      <c r="H21" s="152" t="b">
        <f>IF(G21=TRUE,0,FALSE)</f>
        <v>0</v>
      </c>
      <c r="I21" s="152" t="b">
        <f>IF(G21=TRUE,0,FALSE)</f>
        <v>0</v>
      </c>
    </row>
    <row r="22" spans="2:9" x14ac:dyDescent="0.35">
      <c r="B22" s="332"/>
      <c r="C22" s="334"/>
      <c r="D22" s="342"/>
      <c r="E22" s="334"/>
      <c r="F22" s="142" t="s">
        <v>95</v>
      </c>
      <c r="G22" s="142" t="b">
        <f>IF(AND($C$1&gt;50,$C$1&lt;=500,$E$21=TRUE),TRUE,FALSE)</f>
        <v>0</v>
      </c>
      <c r="H22" s="153" t="b">
        <f>IF(G22=TRUE,0,FALSE)</f>
        <v>0</v>
      </c>
      <c r="I22" s="153" t="b">
        <f>IF(G22=TRUE,0.17*$C$1,FALSE)</f>
        <v>0</v>
      </c>
    </row>
    <row r="23" spans="2:9" x14ac:dyDescent="0.35">
      <c r="B23" s="332"/>
      <c r="C23" s="334"/>
      <c r="D23" s="342"/>
      <c r="E23" s="334"/>
      <c r="F23" s="142" t="s">
        <v>96</v>
      </c>
      <c r="G23" s="142" t="b">
        <f>IF(AND($C$1&gt;500,$C$1&lt;=749.99,$E$21=TRUE),TRUE,FALSE)</f>
        <v>0</v>
      </c>
      <c r="H23" s="153" t="b">
        <f>IF(G23=TRUE,0.45*($C$1-500),FALSE)</f>
        <v>0</v>
      </c>
      <c r="I23" s="153" t="b">
        <f>IF(G23=TRUE,0.17*$C$1,FALSE)</f>
        <v>0</v>
      </c>
    </row>
    <row r="24" spans="2:9" x14ac:dyDescent="0.35">
      <c r="B24" s="332"/>
      <c r="C24" s="334"/>
      <c r="D24" s="342"/>
      <c r="E24" s="335"/>
      <c r="F24" s="140" t="s">
        <v>97</v>
      </c>
      <c r="G24" s="142" t="b">
        <f>IF(AND($C$1&gt;750,$E$21=TRUE),TRUE,FALSE)</f>
        <v>0</v>
      </c>
      <c r="H24" s="154" t="b">
        <f>IF(G24=TRUE,MIN($C$1*0.15,900),FALSE)</f>
        <v>0</v>
      </c>
      <c r="I24" s="154" t="b">
        <f>IF(G24=TRUE,MIN($C$1*0.09,1020),FALSE)</f>
        <v>0</v>
      </c>
    </row>
    <row r="25" spans="2:9" x14ac:dyDescent="0.35">
      <c r="B25" s="332"/>
      <c r="C25" s="334"/>
      <c r="D25" s="342" t="s">
        <v>87</v>
      </c>
      <c r="E25" s="333" t="b">
        <f>IF(AND($I$1&gt;=55,$I$1&lt;60,$C$21=TRUE),TRUE,FALSE)</f>
        <v>0</v>
      </c>
      <c r="F25" s="141" t="s">
        <v>94</v>
      </c>
      <c r="G25" s="141" t="b">
        <f>IF(AND($C$1&lt;50, $E$25=TRUE),TRUE,FALSE)</f>
        <v>0</v>
      </c>
      <c r="H25" s="152" t="b">
        <f>IF(G25=TRUE,0,FALSE)</f>
        <v>0</v>
      </c>
      <c r="I25" s="152" t="b">
        <f>IF(G25=TRUE,0,FALSE)</f>
        <v>0</v>
      </c>
    </row>
    <row r="26" spans="2:9" x14ac:dyDescent="0.35">
      <c r="B26" s="332"/>
      <c r="C26" s="334"/>
      <c r="D26" s="342"/>
      <c r="E26" s="334"/>
      <c r="F26" s="142" t="s">
        <v>95</v>
      </c>
      <c r="G26" s="142" t="b">
        <f>IF(AND($C$1&gt;50,$C$1&lt;=500,$E$25=TRUE),TRUE,FALSE)</f>
        <v>0</v>
      </c>
      <c r="H26" s="153" t="b">
        <f>IF(G26=TRUE,0,FALSE)</f>
        <v>0</v>
      </c>
      <c r="I26" s="153" t="b">
        <f>IF(G26=TRUE,0.13*$C$1,FALSE)</f>
        <v>0</v>
      </c>
    </row>
    <row r="27" spans="2:9" x14ac:dyDescent="0.35">
      <c r="B27" s="332"/>
      <c r="C27" s="334"/>
      <c r="D27" s="342"/>
      <c r="E27" s="334"/>
      <c r="F27" s="142" t="s">
        <v>96</v>
      </c>
      <c r="G27" s="142" t="b">
        <f>IF(AND($C$1&gt;500,$C$1&lt;=749.99,$E$25=TRUE),TRUE,FALSE)</f>
        <v>0</v>
      </c>
      <c r="H27" s="153" t="b">
        <f>IF(G27=TRUE,0.375*($C$1-500),FALSE)</f>
        <v>0</v>
      </c>
      <c r="I27" s="153" t="b">
        <f>IF(G27=TRUE,0.13*$C$1,FALSE)</f>
        <v>0</v>
      </c>
    </row>
    <row r="28" spans="2:9" x14ac:dyDescent="0.35">
      <c r="B28" s="332"/>
      <c r="C28" s="334"/>
      <c r="D28" s="342"/>
      <c r="E28" s="336"/>
      <c r="F28" s="140" t="s">
        <v>97</v>
      </c>
      <c r="G28" s="142" t="b">
        <f>IF(AND($C$1&gt;750,$E$25=TRUE),TRUE,FALSE)</f>
        <v>0</v>
      </c>
      <c r="H28" s="154" t="b">
        <f>IF(G28=TRUE,MIN($C$1*0.125,750),FALSE)</f>
        <v>0</v>
      </c>
      <c r="I28" s="154" t="b">
        <f>IF(G28=TRUE,MIN($C$1*0.13,780),FALSE)</f>
        <v>0</v>
      </c>
    </row>
    <row r="29" spans="2:9" x14ac:dyDescent="0.35">
      <c r="B29" s="332"/>
      <c r="C29" s="334"/>
      <c r="D29" s="342" t="s">
        <v>88</v>
      </c>
      <c r="E29" s="333" t="b">
        <f>IF(AND($I$1&gt;=60,$I$1&lt;65,$C$21=TRUE),TRUE,FALSE)</f>
        <v>0</v>
      </c>
      <c r="F29" s="141" t="s">
        <v>94</v>
      </c>
      <c r="G29" s="141" t="b">
        <f>IF(AND($C$1&lt;50, $E$29=TRUE),TRUE,FALSE)</f>
        <v>0</v>
      </c>
      <c r="H29" s="152" t="b">
        <f>IF(G29=TRUE,0,FALSE)</f>
        <v>0</v>
      </c>
      <c r="I29" s="152" t="b">
        <f>IF(G29=TRUE,0,FALSE)</f>
        <v>0</v>
      </c>
    </row>
    <row r="30" spans="2:9" x14ac:dyDescent="0.35">
      <c r="B30" s="332"/>
      <c r="C30" s="334"/>
      <c r="D30" s="342"/>
      <c r="E30" s="334"/>
      <c r="F30" s="142" t="s">
        <v>95</v>
      </c>
      <c r="G30" s="142" t="b">
        <f>IF(AND($C$1&gt;50,$C$1&lt;=500,$E$29=TRUE),TRUE,FALSE)</f>
        <v>0</v>
      </c>
      <c r="H30" s="153" t="b">
        <f>IF(G30=TRUE,0,FALSE)</f>
        <v>0</v>
      </c>
      <c r="I30" s="153" t="b">
        <f>IF(G30=TRUE,0.09*$C$1,FALSE)</f>
        <v>0</v>
      </c>
    </row>
    <row r="31" spans="2:9" x14ac:dyDescent="0.35">
      <c r="B31" s="332"/>
      <c r="C31" s="334"/>
      <c r="D31" s="342"/>
      <c r="E31" s="334"/>
      <c r="F31" s="142" t="s">
        <v>96</v>
      </c>
      <c r="G31" s="142" t="b">
        <f>IF(AND($C$1&gt;500,$C$1&lt;=749.99,$E$29=TRUE),TRUE,FALSE)</f>
        <v>0</v>
      </c>
      <c r="H31" s="153" t="b">
        <f>IF(G31=TRUE,0.225*($C$1-500),FALSE)</f>
        <v>0</v>
      </c>
      <c r="I31" s="153" t="b">
        <f>IF(G31=TRUE,0.09*$C$1,FALSE)</f>
        <v>0</v>
      </c>
    </row>
    <row r="32" spans="2:9" x14ac:dyDescent="0.35">
      <c r="B32" s="332"/>
      <c r="C32" s="334"/>
      <c r="D32" s="342"/>
      <c r="E32" s="336"/>
      <c r="F32" s="140" t="s">
        <v>97</v>
      </c>
      <c r="G32" s="142" t="b">
        <f>IF(AND($C$1&gt;750,$E$29=TRUE),TRUE,FALSE)</f>
        <v>0</v>
      </c>
      <c r="H32" s="154" t="b">
        <f>IF(G32=TRUE,MIN($C$1*0.075,450),FALSE)</f>
        <v>0</v>
      </c>
      <c r="I32" s="154" t="b">
        <f>IF(G32=TRUE,MIN($C$1*0.09,540),FALSE)</f>
        <v>0</v>
      </c>
    </row>
    <row r="33" spans="2:9" x14ac:dyDescent="0.35">
      <c r="B33" s="332"/>
      <c r="C33" s="334"/>
      <c r="D33" s="334" t="s">
        <v>89</v>
      </c>
      <c r="E33" s="333" t="b">
        <f>IF(AND($I$1&gt;=65,$C$21=TRUE),TRUE,FALSE)</f>
        <v>0</v>
      </c>
      <c r="F33" s="141" t="s">
        <v>94</v>
      </c>
      <c r="G33" s="141" t="b">
        <f>IF(AND($C$1&lt;50, $E$33=TRUE),TRUE,FALSE)</f>
        <v>0</v>
      </c>
      <c r="H33" s="152" t="b">
        <f>IF(G33=TRUE,0,FALSE)</f>
        <v>0</v>
      </c>
      <c r="I33" s="152" t="b">
        <f>IF(G33=TRUE,0,FALSE)</f>
        <v>0</v>
      </c>
    </row>
    <row r="34" spans="2:9" x14ac:dyDescent="0.35">
      <c r="B34" s="332"/>
      <c r="C34" s="334"/>
      <c r="D34" s="334"/>
      <c r="E34" s="334"/>
      <c r="F34" s="142" t="s">
        <v>95</v>
      </c>
      <c r="G34" s="142" t="b">
        <f>IF(AND($C$1&gt;50,$C$1&lt;=500,$E$33=TRUE),TRUE,FALSE)</f>
        <v>0</v>
      </c>
      <c r="H34" s="153" t="b">
        <f>IF(G34=TRUE,0,FALSE)</f>
        <v>0</v>
      </c>
      <c r="I34" s="153" t="b">
        <f>IF(G34=TRUE,0.075*$C$1,FALSE)</f>
        <v>0</v>
      </c>
    </row>
    <row r="35" spans="2:9" x14ac:dyDescent="0.35">
      <c r="B35" s="332"/>
      <c r="C35" s="334"/>
      <c r="D35" s="334"/>
      <c r="E35" s="334"/>
      <c r="F35" s="142" t="s">
        <v>96</v>
      </c>
      <c r="G35" s="142" t="b">
        <f>IF(AND($C$1&gt;500,$C$1&lt;=749.99,$E$33=TRUE),TRUE,FALSE)</f>
        <v>0</v>
      </c>
      <c r="H35" s="153" t="b">
        <f>IF(G35=TRUE,0.15*($C$1-500),FALSE)</f>
        <v>0</v>
      </c>
      <c r="I35" s="153" t="b">
        <f>IF(G35=TRUE,0.075*$C$1,FALSE)</f>
        <v>0</v>
      </c>
    </row>
    <row r="36" spans="2:9" x14ac:dyDescent="0.35">
      <c r="B36" s="332"/>
      <c r="C36" s="336"/>
      <c r="D36" s="336"/>
      <c r="E36" s="336"/>
      <c r="F36" s="143" t="s">
        <v>97</v>
      </c>
      <c r="G36" s="143" t="b">
        <f>IF(AND($C$1&gt;750,$E$33=TRUE),TRUE,FALSE)</f>
        <v>0</v>
      </c>
      <c r="H36" s="154" t="b">
        <f>IF(G36=TRUE,MIN($C$1*0.05,300),FALSE)</f>
        <v>0</v>
      </c>
      <c r="I36" s="154" t="b">
        <f>IF(G36=TRUE,MIN($C$1*0.075,450),FALSE)</f>
        <v>0</v>
      </c>
    </row>
    <row r="37" spans="2:9" x14ac:dyDescent="0.35">
      <c r="B37" s="340" t="s">
        <v>156</v>
      </c>
      <c r="C37" s="333" t="b">
        <f>IF($F$1="S",TRUE,FALSE)</f>
        <v>0</v>
      </c>
      <c r="D37" s="342" t="s">
        <v>86</v>
      </c>
      <c r="E37" s="333" t="b">
        <f>IF(AND($I$1&lt;55, $C$37=TRUE), TRUE, FALSE)</f>
        <v>0</v>
      </c>
      <c r="F37" s="141" t="s">
        <v>94</v>
      </c>
      <c r="G37" s="141" t="b">
        <f>IF(AND($C$1&lt;50, $E$37=TRUE),TRUE,FALSE)</f>
        <v>0</v>
      </c>
      <c r="H37" s="152" t="b">
        <f>IF(G37=TRUE,0,FALSE)</f>
        <v>0</v>
      </c>
      <c r="I37" s="152" t="b">
        <f>IF(G37=TRUE,0,FALSE)</f>
        <v>0</v>
      </c>
    </row>
    <row r="38" spans="2:9" x14ac:dyDescent="0.35">
      <c r="B38" s="341"/>
      <c r="C38" s="334"/>
      <c r="D38" s="342"/>
      <c r="E38" s="334"/>
      <c r="F38" s="142" t="s">
        <v>95</v>
      </c>
      <c r="G38" s="142" t="b">
        <f>IF(AND($C$1&gt;50,$C$1&lt;=500,$E$37=TRUE),TRUE,FALSE)</f>
        <v>0</v>
      </c>
      <c r="H38" s="153" t="b">
        <f>IF(G38=TRUE,0,FALSE)</f>
        <v>0</v>
      </c>
      <c r="I38" s="153" t="b">
        <f>IF(G38=TRUE,0.17*$C$1,FALSE)</f>
        <v>0</v>
      </c>
    </row>
    <row r="39" spans="2:9" x14ac:dyDescent="0.35">
      <c r="B39" s="341"/>
      <c r="C39" s="334"/>
      <c r="D39" s="342"/>
      <c r="E39" s="334"/>
      <c r="F39" s="142" t="s">
        <v>96</v>
      </c>
      <c r="G39" s="142" t="b">
        <f>IF(AND($C$1&gt;500,$C$1&lt;=749.99,$E$37=TRUE),TRUE,FALSE)</f>
        <v>0</v>
      </c>
      <c r="H39" s="153" t="b">
        <f>IF(G39=TRUE,0.6*($C$1-500),FALSE)</f>
        <v>0</v>
      </c>
      <c r="I39" s="153" t="b">
        <f>IF(G39=TRUE,0.17*$C$1,FALSE)</f>
        <v>0</v>
      </c>
    </row>
    <row r="40" spans="2:9" x14ac:dyDescent="0.35">
      <c r="B40" s="341"/>
      <c r="C40" s="334"/>
      <c r="D40" s="342"/>
      <c r="E40" s="335"/>
      <c r="F40" s="140" t="s">
        <v>97</v>
      </c>
      <c r="G40" s="142" t="b">
        <f>IF(AND($C$1&gt;750,$E$37=TRUE),TRUE,FALSE)</f>
        <v>0</v>
      </c>
      <c r="H40" s="154" t="b">
        <f>IF(G40=TRUE,MIN($C$1*0.05,1200),FALSE)</f>
        <v>0</v>
      </c>
      <c r="I40" s="154" t="b">
        <f>IF(G40=TRUE,MIN($C$1*0.17,1020),FALSE)</f>
        <v>0</v>
      </c>
    </row>
    <row r="41" spans="2:9" x14ac:dyDescent="0.35">
      <c r="B41" s="341"/>
      <c r="C41" s="334"/>
      <c r="D41" s="342" t="s">
        <v>87</v>
      </c>
      <c r="E41" s="333" t="b">
        <f>IF(AND($I$1&gt;=55,$I$1&lt;60,$C$37=TRUE),TRUE,FALSE)</f>
        <v>0</v>
      </c>
      <c r="F41" s="141" t="s">
        <v>94</v>
      </c>
      <c r="G41" s="141" t="b">
        <f>IF(AND($C$1&lt;50, $E$41=TRUE),TRUE,FALSE)</f>
        <v>0</v>
      </c>
      <c r="H41" s="152" t="b">
        <f>IF(G41=TRUE,0,FALSE)</f>
        <v>0</v>
      </c>
      <c r="I41" s="152" t="b">
        <f>IF(G41=TRUE,0,FALSE)</f>
        <v>0</v>
      </c>
    </row>
    <row r="42" spans="2:9" x14ac:dyDescent="0.35">
      <c r="B42" s="341"/>
      <c r="C42" s="334"/>
      <c r="D42" s="342"/>
      <c r="E42" s="334"/>
      <c r="F42" s="142" t="s">
        <v>95</v>
      </c>
      <c r="G42" s="142" t="b">
        <f>IF(AND($C$1&gt;50,$C$1&lt;=500,$E$41=TRUE),TRUE,FALSE)</f>
        <v>0</v>
      </c>
      <c r="H42" s="153" t="b">
        <f>IF(G42=TRUE,0,FALSE)</f>
        <v>0</v>
      </c>
      <c r="I42" s="153" t="b">
        <f>IF(G42=TRUE,0.13*$C$1,FALSE)</f>
        <v>0</v>
      </c>
    </row>
    <row r="43" spans="2:9" x14ac:dyDescent="0.35">
      <c r="B43" s="341"/>
      <c r="C43" s="334"/>
      <c r="D43" s="342"/>
      <c r="E43" s="334"/>
      <c r="F43" s="142" t="s">
        <v>96</v>
      </c>
      <c r="G43" s="142" t="b">
        <f>IF(AND($C$1&gt;500,$C$1&lt;=749.99,$E$41=TRUE),TRUE,FALSE)</f>
        <v>0</v>
      </c>
      <c r="H43" s="153" t="b">
        <f>IF(G43=TRUE,0.39*($C$1-500),FALSE)</f>
        <v>0</v>
      </c>
      <c r="I43" s="153" t="b">
        <f>IF(G43=TRUE,0.13*$C$1,FALSE)</f>
        <v>0</v>
      </c>
    </row>
    <row r="44" spans="2:9" x14ac:dyDescent="0.35">
      <c r="B44" s="341"/>
      <c r="C44" s="334"/>
      <c r="D44" s="342"/>
      <c r="E44" s="336"/>
      <c r="F44" s="140" t="s">
        <v>97</v>
      </c>
      <c r="G44" s="142" t="b">
        <f>IF(AND($C$1&gt;750,$E$41=TRUE),TRUE,FALSE)</f>
        <v>0</v>
      </c>
      <c r="H44" s="154" t="b">
        <f>IF(G44=TRUE,MIN($C$1*0.13,780),FALSE)</f>
        <v>0</v>
      </c>
      <c r="I44" s="154" t="b">
        <f>IF(G44=TRUE,MIN($C$1*0.13,780),FALSE)</f>
        <v>0</v>
      </c>
    </row>
    <row r="45" spans="2:9" x14ac:dyDescent="0.35">
      <c r="B45" s="341"/>
      <c r="C45" s="334"/>
      <c r="D45" s="342" t="s">
        <v>88</v>
      </c>
      <c r="E45" s="333" t="b">
        <f>IF(AND($I$1&gt;=60,$I$1&lt;65,$C$37=TRUE),TRUE,FALSE)</f>
        <v>0</v>
      </c>
      <c r="F45" s="141" t="s">
        <v>94</v>
      </c>
      <c r="G45" s="141" t="b">
        <f>IF(AND($C$1&lt;50, $E$45=TRUE),TRUE,FALSE)</f>
        <v>0</v>
      </c>
      <c r="H45" s="152" t="b">
        <f>IF(G45=TRUE,0,FALSE)</f>
        <v>0</v>
      </c>
      <c r="I45" s="152" t="b">
        <f>IF(G45=TRUE,0,FALSE)</f>
        <v>0</v>
      </c>
    </row>
    <row r="46" spans="2:9" x14ac:dyDescent="0.35">
      <c r="B46" s="341"/>
      <c r="C46" s="334"/>
      <c r="D46" s="342"/>
      <c r="E46" s="334"/>
      <c r="F46" s="142" t="s">
        <v>95</v>
      </c>
      <c r="G46" s="142" t="b">
        <f>IF(AND($C$1&gt;50,$C$1&lt;=500,$E$45=TRUE),TRUE,FALSE)</f>
        <v>0</v>
      </c>
      <c r="H46" s="153" t="b">
        <f>IF(G46=TRUE,0,FALSE)</f>
        <v>0</v>
      </c>
      <c r="I46" s="153" t="b">
        <f>IF(G46=TRUE,0.09*$C$1,FALSE)</f>
        <v>0</v>
      </c>
    </row>
    <row r="47" spans="2:9" x14ac:dyDescent="0.35">
      <c r="B47" s="341"/>
      <c r="C47" s="334"/>
      <c r="D47" s="342"/>
      <c r="E47" s="334"/>
      <c r="F47" s="142" t="s">
        <v>96</v>
      </c>
      <c r="G47" s="142" t="b">
        <f>IF(AND($C$1&gt;500,$C$1&lt;=749.99,$E$45=TRUE),TRUE,FALSE)</f>
        <v>0</v>
      </c>
      <c r="H47" s="153" t="b">
        <f>IF(G47=TRUE,0.225*($C$1-500),FALSE)</f>
        <v>0</v>
      </c>
      <c r="I47" s="153" t="b">
        <f>IF(G47=TRUE,0.09*$C$1,FALSE)</f>
        <v>0</v>
      </c>
    </row>
    <row r="48" spans="2:9" x14ac:dyDescent="0.35">
      <c r="B48" s="341"/>
      <c r="C48" s="334"/>
      <c r="D48" s="342"/>
      <c r="E48" s="336"/>
      <c r="F48" s="140" t="s">
        <v>97</v>
      </c>
      <c r="G48" s="142" t="b">
        <f>IF(AND($C$1&gt;750,$E$45=TRUE),TRUE,FALSE)</f>
        <v>0</v>
      </c>
      <c r="H48" s="154" t="b">
        <f>IF(G48=TRUE,MIN($C$1*0.075,450),FALSE)</f>
        <v>0</v>
      </c>
      <c r="I48" s="154" t="b">
        <f>IF(G48=TRUE,MIN($C$1*0.09,540),FALSE)</f>
        <v>0</v>
      </c>
    </row>
    <row r="49" spans="2:9" x14ac:dyDescent="0.35">
      <c r="B49" s="341"/>
      <c r="C49" s="334"/>
      <c r="D49" s="334" t="s">
        <v>89</v>
      </c>
      <c r="E49" s="333" t="b">
        <f>IF(AND($I$1&gt;=65,$C$37=TRUE),TRUE,FALSE)</f>
        <v>0</v>
      </c>
      <c r="F49" s="141" t="s">
        <v>94</v>
      </c>
      <c r="G49" s="141" t="b">
        <f>IF(AND($C$1&lt;50, $E$49=TRUE),TRUE,FALSE)</f>
        <v>0</v>
      </c>
      <c r="H49" s="152" t="b">
        <f>IF(G49=TRUE,0,FALSE)</f>
        <v>0</v>
      </c>
      <c r="I49" s="152" t="b">
        <f>IF(G49=TRUE,0,FALSE)</f>
        <v>0</v>
      </c>
    </row>
    <row r="50" spans="2:9" x14ac:dyDescent="0.35">
      <c r="B50" s="341"/>
      <c r="C50" s="334"/>
      <c r="D50" s="334"/>
      <c r="E50" s="334"/>
      <c r="F50" s="142" t="s">
        <v>95</v>
      </c>
      <c r="G50" s="142" t="b">
        <f>IF(AND($C$1&gt;50,$C$1&lt;=500,$E$49=TRUE),TRUE,FALSE)</f>
        <v>0</v>
      </c>
      <c r="H50" s="153" t="b">
        <f>IF(G50=TRUE,0,FALSE)</f>
        <v>0</v>
      </c>
      <c r="I50" s="153" t="b">
        <f>IF(G50=TRUE,0.075*$C$1,FALSE)</f>
        <v>0</v>
      </c>
    </row>
    <row r="51" spans="2:9" x14ac:dyDescent="0.35">
      <c r="B51" s="341"/>
      <c r="C51" s="334"/>
      <c r="D51" s="334"/>
      <c r="E51" s="334"/>
      <c r="F51" s="142" t="s">
        <v>96</v>
      </c>
      <c r="G51" s="142" t="b">
        <f>IF(AND($C$1&gt;500,$C$1&lt;=749.99,$E$49=TRUE),TRUE,FALSE)</f>
        <v>0</v>
      </c>
      <c r="H51" s="153" t="b">
        <f>IF(G51=TRUE,0.15*($C$1-500),FALSE)</f>
        <v>0</v>
      </c>
      <c r="I51" s="153" t="b">
        <f>IF(G51=TRUE,0.075*$C$1,FALSE)</f>
        <v>0</v>
      </c>
    </row>
    <row r="52" spans="2:9" ht="15" thickBot="1" x14ac:dyDescent="0.4">
      <c r="B52" s="341"/>
      <c r="C52" s="334"/>
      <c r="D52" s="334"/>
      <c r="E52" s="334"/>
      <c r="F52" s="161" t="s">
        <v>97</v>
      </c>
      <c r="G52" s="161" t="b">
        <f>IF(AND($C$1&gt;750,$E$49=TRUE),TRUE,FALSE)</f>
        <v>0</v>
      </c>
      <c r="H52" s="154" t="b">
        <f>IF(G52=TRUE,MIN($C$1*0.05,300),FALSE)</f>
        <v>0</v>
      </c>
      <c r="I52" s="154" t="b">
        <f>IF(G52=TRUE,MIN($C$1*0.075,450),FALSE)</f>
        <v>0</v>
      </c>
    </row>
    <row r="53" spans="2:9" ht="15" thickBot="1" x14ac:dyDescent="0.4">
      <c r="B53" s="329" t="s">
        <v>98</v>
      </c>
      <c r="C53" s="330"/>
      <c r="D53" s="330"/>
      <c r="E53" s="330"/>
      <c r="F53" s="330"/>
      <c r="G53" s="330"/>
      <c r="H53" s="186">
        <f>SUM(H5:H52)</f>
        <v>7.5002999999999922</v>
      </c>
      <c r="I53" s="187">
        <f>SUM(I5:I52)</f>
        <v>49.500179999999993</v>
      </c>
    </row>
  </sheetData>
  <mergeCells count="34">
    <mergeCell ref="D29:D32"/>
    <mergeCell ref="D33:D36"/>
    <mergeCell ref="D5:D8"/>
    <mergeCell ref="D9:D12"/>
    <mergeCell ref="D13:D16"/>
    <mergeCell ref="D17:D20"/>
    <mergeCell ref="D21:D24"/>
    <mergeCell ref="D25:D28"/>
    <mergeCell ref="B37:B52"/>
    <mergeCell ref="E37:E40"/>
    <mergeCell ref="E41:E44"/>
    <mergeCell ref="E45:E48"/>
    <mergeCell ref="E49:E52"/>
    <mergeCell ref="D37:D40"/>
    <mergeCell ref="D41:D44"/>
    <mergeCell ref="D45:D48"/>
    <mergeCell ref="D49:D52"/>
    <mergeCell ref="C37:C52"/>
    <mergeCell ref="B3:C3"/>
    <mergeCell ref="B53:G53"/>
    <mergeCell ref="B21:B36"/>
    <mergeCell ref="E21:E24"/>
    <mergeCell ref="E25:E28"/>
    <mergeCell ref="E29:E32"/>
    <mergeCell ref="E33:E36"/>
    <mergeCell ref="C21:C36"/>
    <mergeCell ref="B5:B20"/>
    <mergeCell ref="E5:E8"/>
    <mergeCell ref="E9:E12"/>
    <mergeCell ref="E13:E16"/>
    <mergeCell ref="E17:E20"/>
    <mergeCell ref="C5:C20"/>
    <mergeCell ref="F3:G3"/>
    <mergeCell ref="D3:E3"/>
  </mergeCells>
  <dataValidations count="1">
    <dataValidation type="decimal" operator="greaterThanOrEqual" allowBlank="1" showInputMessage="1" showErrorMessage="1" sqref="L1" xr:uid="{545574DA-D8BF-4383-838E-D8EDDA01DA46}">
      <formula1>0</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8667D-16D6-494F-9715-EF1A78DE1EEE}">
  <sheetPr codeName="Sheet5">
    <tabColor theme="7"/>
  </sheetPr>
  <dimension ref="B2:Q92"/>
  <sheetViews>
    <sheetView topLeftCell="A69" zoomScale="80" zoomScaleNormal="80" workbookViewId="0">
      <selection activeCell="C93" sqref="C93"/>
    </sheetView>
  </sheetViews>
  <sheetFormatPr defaultRowHeight="14.5" x14ac:dyDescent="0.35"/>
  <cols>
    <col min="1" max="1" width="2.453125" customWidth="1"/>
    <col min="2" max="2" width="12.453125" style="96" customWidth="1"/>
    <col min="3" max="3" width="17" style="163" bestFit="1" customWidth="1"/>
    <col min="4" max="4" width="12.81640625" style="1" bestFit="1" customWidth="1"/>
    <col min="5" max="5" width="17.81640625" style="268" bestFit="1" customWidth="1"/>
    <col min="6" max="6" width="15.1796875" style="265" bestFit="1" customWidth="1"/>
    <col min="7" max="7" width="16.81640625" style="268" bestFit="1" customWidth="1"/>
    <col min="8" max="8" width="16.90625" style="268" bestFit="1" customWidth="1"/>
    <col min="9" max="9" width="14.7265625" style="158" bestFit="1" customWidth="1"/>
    <col min="10" max="10" width="12.81640625" bestFit="1" customWidth="1"/>
    <col min="11" max="11" width="10.453125" bestFit="1" customWidth="1"/>
    <col min="12" max="12" width="14.7265625" bestFit="1" customWidth="1"/>
    <col min="13" max="13" width="17.26953125" bestFit="1" customWidth="1"/>
    <col min="14" max="14" width="15.36328125" bestFit="1" customWidth="1"/>
    <col min="15" max="15" width="20.36328125" bestFit="1" customWidth="1"/>
    <col min="16" max="16" width="15.1796875" bestFit="1" customWidth="1"/>
    <col min="17" max="17" width="16.453125" style="269" bestFit="1" customWidth="1"/>
  </cols>
  <sheetData>
    <row r="2" spans="2:17" x14ac:dyDescent="0.35">
      <c r="B2" s="96" t="s">
        <v>35</v>
      </c>
      <c r="C2" s="162" t="s">
        <v>14</v>
      </c>
      <c r="D2" s="135" t="s">
        <v>13</v>
      </c>
      <c r="E2" s="267" t="s">
        <v>36</v>
      </c>
      <c r="F2" s="134" t="s">
        <v>74</v>
      </c>
      <c r="G2" s="267" t="s">
        <v>142</v>
      </c>
      <c r="H2" s="267" t="s">
        <v>143</v>
      </c>
      <c r="I2" s="159" t="s">
        <v>153</v>
      </c>
      <c r="J2" s="135" t="s">
        <v>129</v>
      </c>
      <c r="K2" s="135" t="s">
        <v>128</v>
      </c>
      <c r="L2" s="135" t="s">
        <v>130</v>
      </c>
      <c r="M2" s="135" t="s">
        <v>75</v>
      </c>
      <c r="N2" s="135" t="s">
        <v>127</v>
      </c>
      <c r="O2" s="135" t="s">
        <v>76</v>
      </c>
      <c r="P2" s="135" t="s">
        <v>77</v>
      </c>
      <c r="Q2" s="267" t="s">
        <v>80</v>
      </c>
    </row>
    <row r="3" spans="2:17" x14ac:dyDescent="0.35">
      <c r="B3" s="96" t="s">
        <v>79</v>
      </c>
      <c r="C3" s="162"/>
      <c r="D3" s="135"/>
      <c r="E3" s="267"/>
      <c r="F3" s="134"/>
      <c r="G3" s="267"/>
      <c r="H3" s="267"/>
      <c r="I3" s="159"/>
      <c r="J3" s="135"/>
      <c r="K3" s="135"/>
      <c r="L3" s="135"/>
      <c r="M3" s="135"/>
      <c r="N3" s="135"/>
      <c r="O3" s="135"/>
      <c r="P3" s="135"/>
      <c r="Q3" s="267">
        <f>MonthlyData[Basic Pay]+MonthlyData[OT Pay]-MonthlyData[CPF (EE)]</f>
        <v>0</v>
      </c>
    </row>
    <row r="4" spans="2:17" x14ac:dyDescent="0.35">
      <c r="B4" s="96" t="s">
        <v>44</v>
      </c>
      <c r="C4" s="162" t="s">
        <v>192</v>
      </c>
      <c r="D4" s="135" t="s">
        <v>106</v>
      </c>
      <c r="E4" s="267">
        <v>2400</v>
      </c>
      <c r="F4" s="134">
        <v>1752.7954500000001</v>
      </c>
      <c r="G4" s="267">
        <v>300</v>
      </c>
      <c r="H4" s="267">
        <v>780</v>
      </c>
      <c r="I4" s="159"/>
      <c r="J4" s="135">
        <v>2</v>
      </c>
      <c r="K4" s="135">
        <v>1</v>
      </c>
      <c r="L4" s="135">
        <v>0</v>
      </c>
      <c r="M4" s="135">
        <v>9</v>
      </c>
      <c r="N4" s="135">
        <v>5</v>
      </c>
      <c r="O4" s="135">
        <v>0</v>
      </c>
      <c r="P4" s="135"/>
      <c r="Q4" s="267">
        <f>MonthlyData[Basic Pay]+MonthlyData[OT Pay]-MonthlyData[CPF (EE)]</f>
        <v>3852.7954499999996</v>
      </c>
    </row>
    <row r="5" spans="2:17" x14ac:dyDescent="0.35">
      <c r="B5" s="96" t="s">
        <v>44</v>
      </c>
      <c r="C5" s="162" t="s">
        <v>192</v>
      </c>
      <c r="D5" s="135" t="s">
        <v>107</v>
      </c>
      <c r="E5" s="267">
        <v>2400</v>
      </c>
      <c r="F5" s="134">
        <v>1431.81675</v>
      </c>
      <c r="G5" s="267">
        <v>191.5908</v>
      </c>
      <c r="H5" s="267">
        <v>498.13619999999997</v>
      </c>
      <c r="I5" s="159"/>
      <c r="J5" s="135">
        <v>2</v>
      </c>
      <c r="K5" s="135">
        <v>2</v>
      </c>
      <c r="L5" s="135">
        <v>0</v>
      </c>
      <c r="M5" s="135"/>
      <c r="N5" s="135"/>
      <c r="O5" s="135"/>
      <c r="P5" s="135"/>
      <c r="Q5" s="267">
        <f>MonthlyData[Basic Pay]+MonthlyData[OT Pay]-MonthlyData[CPF (EE)]</f>
        <v>3640.22595</v>
      </c>
    </row>
    <row r="6" spans="2:17" x14ac:dyDescent="0.35">
      <c r="B6" s="96" t="s">
        <v>44</v>
      </c>
      <c r="C6" s="162" t="s">
        <v>192</v>
      </c>
      <c r="D6" s="135" t="s">
        <v>107</v>
      </c>
      <c r="E6" s="267">
        <v>2400</v>
      </c>
      <c r="F6" s="134">
        <v>1431.81675</v>
      </c>
      <c r="G6" s="267">
        <v>191.5908</v>
      </c>
      <c r="H6" s="267">
        <v>498.13619999999997</v>
      </c>
      <c r="I6" s="159"/>
      <c r="J6" s="135">
        <v>2</v>
      </c>
      <c r="K6" s="135">
        <v>2</v>
      </c>
      <c r="L6" s="135">
        <v>0</v>
      </c>
      <c r="M6" s="135">
        <v>11</v>
      </c>
      <c r="N6" s="135">
        <v>5</v>
      </c>
      <c r="O6" s="135">
        <v>0</v>
      </c>
      <c r="P6" s="135"/>
      <c r="Q6" s="267">
        <f>MonthlyData[Basic Pay]+MonthlyData[OT Pay]-MonthlyData[CPF (EE)]</f>
        <v>3640.22595</v>
      </c>
    </row>
    <row r="7" spans="2:17" x14ac:dyDescent="0.35">
      <c r="B7" s="96" t="s">
        <v>44</v>
      </c>
      <c r="C7" s="162" t="s">
        <v>192</v>
      </c>
      <c r="D7" s="135" t="s">
        <v>107</v>
      </c>
      <c r="E7" s="267">
        <v>0</v>
      </c>
      <c r="F7" s="134">
        <v>0</v>
      </c>
      <c r="G7" s="267">
        <v>0</v>
      </c>
      <c r="H7" s="267">
        <v>0</v>
      </c>
      <c r="I7" s="159"/>
      <c r="J7" s="135">
        <v>0</v>
      </c>
      <c r="K7" s="135">
        <v>0</v>
      </c>
      <c r="L7" s="135">
        <v>0</v>
      </c>
      <c r="M7" s="135">
        <v>11</v>
      </c>
      <c r="N7" s="135">
        <v>5</v>
      </c>
      <c r="O7" s="135">
        <v>0</v>
      </c>
      <c r="P7" s="135" t="s">
        <v>108</v>
      </c>
      <c r="Q7" s="267">
        <f>MonthlyData[Basic Pay]+MonthlyData[OT Pay]-MonthlyData[CPF (EE)]</f>
        <v>0</v>
      </c>
    </row>
    <row r="8" spans="2:17" x14ac:dyDescent="0.35">
      <c r="B8" s="96" t="s">
        <v>44</v>
      </c>
      <c r="C8" s="162" t="s">
        <v>192</v>
      </c>
      <c r="D8" s="135" t="s">
        <v>107</v>
      </c>
      <c r="E8" s="267">
        <v>32.499899999999997</v>
      </c>
      <c r="F8" s="134">
        <v>0</v>
      </c>
      <c r="G8" s="267">
        <v>0</v>
      </c>
      <c r="H8" s="267">
        <v>0</v>
      </c>
      <c r="I8" s="159"/>
      <c r="J8" s="135">
        <v>0</v>
      </c>
      <c r="K8" s="135">
        <v>0</v>
      </c>
      <c r="L8" s="135">
        <v>0</v>
      </c>
      <c r="M8" s="135">
        <v>11</v>
      </c>
      <c r="N8" s="135">
        <v>5</v>
      </c>
      <c r="O8" s="135">
        <v>0</v>
      </c>
      <c r="P8" s="135" t="s">
        <v>108</v>
      </c>
      <c r="Q8" s="267">
        <f>MonthlyData[Basic Pay]+MonthlyData[OT Pay]-MonthlyData[CPF (EE)]</f>
        <v>32.499899999999997</v>
      </c>
    </row>
    <row r="9" spans="2:17" x14ac:dyDescent="0.35">
      <c r="B9" s="96" t="s">
        <v>45</v>
      </c>
      <c r="C9" s="162" t="s">
        <v>193</v>
      </c>
      <c r="D9" s="135" t="s">
        <v>107</v>
      </c>
      <c r="E9" s="267">
        <v>389.99880000000002</v>
      </c>
      <c r="F9" s="134">
        <v>129.99959999999999</v>
      </c>
      <c r="G9" s="267">
        <v>0</v>
      </c>
      <c r="H9" s="267">
        <v>66.299800000000005</v>
      </c>
      <c r="I9" s="159"/>
      <c r="J9" s="135">
        <v>0</v>
      </c>
      <c r="K9" s="135">
        <v>0</v>
      </c>
      <c r="L9" s="135">
        <v>0</v>
      </c>
      <c r="M9" s="135">
        <v>0</v>
      </c>
      <c r="N9" s="135">
        <v>0</v>
      </c>
      <c r="O9" s="135">
        <v>0</v>
      </c>
      <c r="P9" s="135" t="s">
        <v>108</v>
      </c>
      <c r="Q9" s="267">
        <f>MonthlyData[Basic Pay]+MonthlyData[OT Pay]-MonthlyData[CPF (EE)]</f>
        <v>519.99839999999995</v>
      </c>
    </row>
    <row r="10" spans="2:17" x14ac:dyDescent="0.35">
      <c r="B10" s="96" t="s">
        <v>46</v>
      </c>
      <c r="C10" s="162" t="s">
        <v>194</v>
      </c>
      <c r="D10" s="135" t="s">
        <v>107</v>
      </c>
      <c r="E10" s="267">
        <v>240</v>
      </c>
      <c r="F10" s="134">
        <v>280</v>
      </c>
      <c r="G10" s="267">
        <v>3</v>
      </c>
      <c r="H10" s="267">
        <v>88.4</v>
      </c>
      <c r="I10" s="159"/>
      <c r="J10" s="135">
        <v>0</v>
      </c>
      <c r="K10" s="135">
        <v>0</v>
      </c>
      <c r="L10" s="135">
        <v>0</v>
      </c>
      <c r="M10" s="135">
        <v>0</v>
      </c>
      <c r="N10" s="135">
        <v>0</v>
      </c>
      <c r="O10" s="135">
        <v>0</v>
      </c>
      <c r="P10" s="135" t="s">
        <v>108</v>
      </c>
      <c r="Q10" s="267">
        <v>515.5</v>
      </c>
    </row>
    <row r="11" spans="2:17" x14ac:dyDescent="0.35">
      <c r="B11" s="96" t="s">
        <v>49</v>
      </c>
      <c r="C11" s="162" t="s">
        <v>195</v>
      </c>
      <c r="D11" s="135" t="s">
        <v>107</v>
      </c>
      <c r="E11" s="267">
        <v>1100</v>
      </c>
      <c r="F11" s="134">
        <v>646.15039999999999</v>
      </c>
      <c r="G11" s="267">
        <v>87.307500000000005</v>
      </c>
      <c r="H11" s="267">
        <v>296.84559999999999</v>
      </c>
      <c r="I11" s="159"/>
      <c r="J11" s="135">
        <v>3.5</v>
      </c>
      <c r="K11" s="135">
        <v>0</v>
      </c>
      <c r="L11" s="135">
        <v>0</v>
      </c>
      <c r="M11" s="135">
        <v>12.5</v>
      </c>
      <c r="N11" s="135">
        <v>0</v>
      </c>
      <c r="O11" s="135">
        <v>0</v>
      </c>
      <c r="P11" s="135" t="s">
        <v>108</v>
      </c>
      <c r="Q11" s="267">
        <v>1657.3429000000001</v>
      </c>
    </row>
    <row r="12" spans="2:17" x14ac:dyDescent="0.35">
      <c r="B12" s="96" t="s">
        <v>50</v>
      </c>
      <c r="C12" s="162" t="s">
        <v>196</v>
      </c>
      <c r="D12" s="135" t="s">
        <v>107</v>
      </c>
      <c r="E12" s="267">
        <v>24.9999</v>
      </c>
      <c r="F12" s="134">
        <v>0</v>
      </c>
      <c r="G12" s="267">
        <v>0</v>
      </c>
      <c r="H12" s="267">
        <v>0</v>
      </c>
      <c r="I12" s="159"/>
      <c r="J12" s="135">
        <v>0</v>
      </c>
      <c r="K12" s="135">
        <v>0</v>
      </c>
      <c r="L12" s="135">
        <v>0</v>
      </c>
      <c r="M12" s="135">
        <v>0</v>
      </c>
      <c r="N12" s="135">
        <v>0</v>
      </c>
      <c r="O12" s="135">
        <v>0</v>
      </c>
      <c r="P12" s="135" t="s">
        <v>108</v>
      </c>
      <c r="Q12" s="267">
        <v>23.4999</v>
      </c>
    </row>
    <row r="13" spans="2:17" x14ac:dyDescent="0.35">
      <c r="B13" s="96" t="s">
        <v>51</v>
      </c>
      <c r="C13" s="162" t="s">
        <v>197</v>
      </c>
      <c r="D13" s="135" t="s">
        <v>107</v>
      </c>
      <c r="E13" s="267">
        <v>199.99920000000003</v>
      </c>
      <c r="F13" s="134">
        <v>99.999599999999987</v>
      </c>
      <c r="G13" s="267">
        <v>0</v>
      </c>
      <c r="H13" s="267">
        <v>38.9998</v>
      </c>
      <c r="I13" s="159"/>
      <c r="J13" s="135">
        <v>0</v>
      </c>
      <c r="K13" s="135">
        <v>0</v>
      </c>
      <c r="L13" s="135">
        <v>0</v>
      </c>
      <c r="M13" s="135">
        <v>0</v>
      </c>
      <c r="N13" s="135">
        <v>0</v>
      </c>
      <c r="O13" s="135">
        <v>0</v>
      </c>
      <c r="P13" s="135" t="s">
        <v>108</v>
      </c>
      <c r="Q13" s="267">
        <v>298.49880000000002</v>
      </c>
    </row>
    <row r="14" spans="2:17" x14ac:dyDescent="0.35">
      <c r="B14" s="96" t="s">
        <v>51</v>
      </c>
      <c r="C14" s="162" t="s">
        <v>197</v>
      </c>
      <c r="D14" s="135" t="s">
        <v>107</v>
      </c>
      <c r="E14" s="267">
        <v>199.99920000000003</v>
      </c>
      <c r="F14" s="134">
        <v>366.66519999999997</v>
      </c>
      <c r="G14" s="267">
        <v>9.9997000000000007</v>
      </c>
      <c r="H14" s="267">
        <v>73.666399999999996</v>
      </c>
      <c r="I14" s="159"/>
      <c r="J14" s="135">
        <v>0</v>
      </c>
      <c r="K14" s="135">
        <v>0</v>
      </c>
      <c r="L14" s="135">
        <v>0</v>
      </c>
      <c r="M14" s="135">
        <v>0</v>
      </c>
      <c r="N14" s="135">
        <v>0</v>
      </c>
      <c r="O14" s="135">
        <v>0</v>
      </c>
      <c r="P14" s="135" t="s">
        <v>108</v>
      </c>
      <c r="Q14" s="267">
        <v>555.16470000000004</v>
      </c>
    </row>
    <row r="15" spans="2:17" x14ac:dyDescent="0.35">
      <c r="B15" s="96" t="s">
        <v>52</v>
      </c>
      <c r="C15" s="162" t="s">
        <v>198</v>
      </c>
      <c r="D15" s="135" t="s">
        <v>107</v>
      </c>
      <c r="E15" s="267">
        <v>220.00079999999997</v>
      </c>
      <c r="F15" s="134">
        <v>403.33480000000003</v>
      </c>
      <c r="G15" s="267">
        <v>18.500299999999999</v>
      </c>
      <c r="H15" s="267">
        <v>81.033600000000007</v>
      </c>
      <c r="I15" s="159"/>
      <c r="J15" s="135">
        <v>0</v>
      </c>
      <c r="K15" s="135">
        <v>0</v>
      </c>
      <c r="L15" s="135">
        <v>0</v>
      </c>
      <c r="M15" s="135">
        <v>0</v>
      </c>
      <c r="N15" s="135">
        <v>0</v>
      </c>
      <c r="O15" s="135">
        <v>0</v>
      </c>
      <c r="P15" s="135" t="s">
        <v>108</v>
      </c>
      <c r="Q15" s="267">
        <v>603.33529999999996</v>
      </c>
    </row>
    <row r="16" spans="2:17" x14ac:dyDescent="0.35">
      <c r="B16" s="96" t="s">
        <v>73</v>
      </c>
      <c r="C16" s="162" t="s">
        <v>199</v>
      </c>
      <c r="D16" s="135" t="s">
        <v>107</v>
      </c>
      <c r="E16" s="267">
        <v>1100</v>
      </c>
      <c r="F16" s="134">
        <v>207.69119999999998</v>
      </c>
      <c r="G16" s="267">
        <v>0</v>
      </c>
      <c r="H16" s="267">
        <v>0</v>
      </c>
      <c r="I16" s="159"/>
      <c r="J16" s="135">
        <v>0</v>
      </c>
      <c r="K16" s="135">
        <v>0</v>
      </c>
      <c r="L16" s="135">
        <v>0</v>
      </c>
      <c r="M16" s="135">
        <v>15</v>
      </c>
      <c r="N16" s="135">
        <v>0</v>
      </c>
      <c r="O16" s="135">
        <v>0</v>
      </c>
      <c r="P16" s="135" t="s">
        <v>108</v>
      </c>
      <c r="Q16" s="267">
        <v>1306.1912</v>
      </c>
    </row>
    <row r="17" spans="2:17" x14ac:dyDescent="0.35">
      <c r="B17" s="96" t="s">
        <v>59</v>
      </c>
      <c r="C17" s="162" t="s">
        <v>200</v>
      </c>
      <c r="D17" s="135" t="s">
        <v>107</v>
      </c>
      <c r="E17" s="267">
        <v>199.99920000000003</v>
      </c>
      <c r="F17" s="134">
        <v>99.999599999999987</v>
      </c>
      <c r="G17" s="267">
        <v>0</v>
      </c>
      <c r="H17" s="267">
        <v>26.9999</v>
      </c>
      <c r="I17" s="159"/>
      <c r="J17" s="135">
        <v>0</v>
      </c>
      <c r="K17" s="135">
        <v>0</v>
      </c>
      <c r="L17" s="135">
        <v>0</v>
      </c>
      <c r="M17" s="135">
        <v>0</v>
      </c>
      <c r="N17" s="135">
        <v>0</v>
      </c>
      <c r="O17" s="135">
        <v>0</v>
      </c>
      <c r="P17" s="135" t="s">
        <v>108</v>
      </c>
      <c r="Q17" s="267">
        <v>298.49880000000002</v>
      </c>
    </row>
    <row r="18" spans="2:17" x14ac:dyDescent="0.35">
      <c r="B18" s="96" t="s">
        <v>63</v>
      </c>
      <c r="C18" s="162" t="s">
        <v>201</v>
      </c>
      <c r="D18" s="135" t="s">
        <v>107</v>
      </c>
      <c r="E18" s="267">
        <v>220.0008</v>
      </c>
      <c r="F18" s="134">
        <v>256.66759999999999</v>
      </c>
      <c r="G18" s="267">
        <v>0</v>
      </c>
      <c r="H18" s="267">
        <v>42.900199999999998</v>
      </c>
      <c r="I18" s="159"/>
      <c r="J18" s="135">
        <v>0</v>
      </c>
      <c r="K18" s="135">
        <v>0</v>
      </c>
      <c r="L18" s="135">
        <v>0</v>
      </c>
      <c r="M18" s="135">
        <v>0</v>
      </c>
      <c r="N18" s="135">
        <v>0</v>
      </c>
      <c r="O18" s="135">
        <v>0</v>
      </c>
      <c r="P18" s="135" t="s">
        <v>108</v>
      </c>
      <c r="Q18" s="267">
        <v>475.16840000000002</v>
      </c>
    </row>
    <row r="19" spans="2:17" x14ac:dyDescent="0.35">
      <c r="B19" s="96" t="s">
        <v>64</v>
      </c>
      <c r="C19" s="162" t="s">
        <v>202</v>
      </c>
      <c r="D19" s="135" t="s">
        <v>107</v>
      </c>
      <c r="E19" s="267">
        <v>1700</v>
      </c>
      <c r="F19" s="134">
        <v>998.60320000000002</v>
      </c>
      <c r="G19" s="267">
        <v>134.93020000000001</v>
      </c>
      <c r="H19" s="267">
        <v>242.87430000000001</v>
      </c>
      <c r="I19" s="159"/>
      <c r="J19" s="135">
        <v>3</v>
      </c>
      <c r="K19" s="135">
        <v>0</v>
      </c>
      <c r="L19" s="135">
        <v>8</v>
      </c>
      <c r="M19" s="135">
        <v>12</v>
      </c>
      <c r="N19" s="135">
        <v>0</v>
      </c>
      <c r="O19" s="135">
        <v>8</v>
      </c>
      <c r="P19" s="135" t="s">
        <v>108</v>
      </c>
      <c r="Q19" s="267">
        <v>2562.1729999999998</v>
      </c>
    </row>
    <row r="20" spans="2:17" x14ac:dyDescent="0.35">
      <c r="B20" s="96" t="s">
        <v>60</v>
      </c>
      <c r="C20" s="162" t="s">
        <v>203</v>
      </c>
      <c r="D20" s="135" t="s">
        <v>107</v>
      </c>
      <c r="E20" s="267">
        <v>24.9999</v>
      </c>
      <c r="F20" s="134">
        <v>0</v>
      </c>
      <c r="G20" s="267">
        <v>0</v>
      </c>
      <c r="H20" s="267">
        <v>0</v>
      </c>
      <c r="I20" s="159"/>
      <c r="J20" s="135">
        <v>0</v>
      </c>
      <c r="K20" s="135">
        <v>0</v>
      </c>
      <c r="L20" s="135">
        <v>0</v>
      </c>
      <c r="M20" s="135">
        <v>0</v>
      </c>
      <c r="N20" s="135">
        <v>0</v>
      </c>
      <c r="O20" s="135">
        <v>0</v>
      </c>
      <c r="P20" s="135" t="s">
        <v>108</v>
      </c>
      <c r="Q20" s="267">
        <v>23.4999</v>
      </c>
    </row>
    <row r="21" spans="2:17" x14ac:dyDescent="0.35">
      <c r="B21" s="96" t="s">
        <v>61</v>
      </c>
      <c r="C21" s="162" t="s">
        <v>204</v>
      </c>
      <c r="D21" s="135" t="s">
        <v>107</v>
      </c>
      <c r="E21" s="267">
        <v>199.99920000000003</v>
      </c>
      <c r="F21" s="134">
        <v>99.999599999999987</v>
      </c>
      <c r="G21" s="267">
        <v>0</v>
      </c>
      <c r="H21" s="267">
        <v>22.4999</v>
      </c>
      <c r="I21" s="159"/>
      <c r="J21" s="135">
        <v>0</v>
      </c>
      <c r="K21" s="135">
        <v>0</v>
      </c>
      <c r="L21" s="135">
        <v>0</v>
      </c>
      <c r="M21" s="135">
        <v>0</v>
      </c>
      <c r="N21" s="135">
        <v>0</v>
      </c>
      <c r="O21" s="135">
        <v>0</v>
      </c>
      <c r="P21" s="135" t="s">
        <v>108</v>
      </c>
      <c r="Q21" s="267">
        <v>298.49880000000002</v>
      </c>
    </row>
    <row r="22" spans="2:17" x14ac:dyDescent="0.35">
      <c r="B22" s="96" t="s">
        <v>71</v>
      </c>
      <c r="C22" s="162" t="s">
        <v>205</v>
      </c>
      <c r="D22" s="135" t="s">
        <v>107</v>
      </c>
      <c r="E22" s="267">
        <v>220.0008</v>
      </c>
      <c r="F22" s="134">
        <v>256.66759999999999</v>
      </c>
      <c r="G22" s="267">
        <v>0</v>
      </c>
      <c r="H22" s="267">
        <v>35.750100000000003</v>
      </c>
      <c r="I22" s="159"/>
      <c r="J22" s="135">
        <v>0</v>
      </c>
      <c r="K22" s="135">
        <v>0</v>
      </c>
      <c r="L22" s="135">
        <v>0</v>
      </c>
      <c r="M22" s="135">
        <v>0</v>
      </c>
      <c r="N22" s="135">
        <v>0</v>
      </c>
      <c r="O22" s="135">
        <v>0</v>
      </c>
      <c r="P22" s="135" t="s">
        <v>108</v>
      </c>
      <c r="Q22" s="267">
        <v>475.16840000000002</v>
      </c>
    </row>
    <row r="23" spans="2:17" x14ac:dyDescent="0.35">
      <c r="B23" s="96" t="s">
        <v>71</v>
      </c>
      <c r="C23" s="162" t="s">
        <v>205</v>
      </c>
      <c r="D23" s="135" t="s">
        <v>107</v>
      </c>
      <c r="E23" s="267">
        <v>220.00079999999994</v>
      </c>
      <c r="F23" s="134">
        <v>330.00120000000004</v>
      </c>
      <c r="G23" s="267">
        <v>7.5003000000000002</v>
      </c>
      <c r="H23" s="267">
        <v>41.250100000000003</v>
      </c>
      <c r="I23" s="159"/>
      <c r="J23" s="135">
        <v>0</v>
      </c>
      <c r="K23" s="135">
        <v>0</v>
      </c>
      <c r="L23" s="135">
        <v>0</v>
      </c>
      <c r="M23" s="135">
        <v>0</v>
      </c>
      <c r="N23" s="135">
        <v>0</v>
      </c>
      <c r="O23" s="135">
        <v>0</v>
      </c>
      <c r="P23" s="135" t="s">
        <v>108</v>
      </c>
      <c r="Q23" s="267">
        <v>541.00170000000003</v>
      </c>
    </row>
    <row r="24" spans="2:17" x14ac:dyDescent="0.35">
      <c r="B24" s="96" t="s">
        <v>73</v>
      </c>
      <c r="C24" s="162" t="s">
        <v>206</v>
      </c>
      <c r="D24" s="135" t="s">
        <v>107</v>
      </c>
      <c r="E24" s="267">
        <v>1100</v>
      </c>
      <c r="F24" s="134">
        <v>207.69119999999998</v>
      </c>
      <c r="G24" s="267">
        <v>65.384600000000006</v>
      </c>
      <c r="H24" s="267">
        <v>98.076800000000006</v>
      </c>
      <c r="I24" s="159"/>
      <c r="J24" s="135">
        <v>0</v>
      </c>
      <c r="K24" s="135">
        <v>0</v>
      </c>
      <c r="L24" s="135">
        <v>0</v>
      </c>
      <c r="M24" s="135">
        <v>15</v>
      </c>
      <c r="N24" s="135">
        <v>0</v>
      </c>
      <c r="O24" s="135">
        <v>0</v>
      </c>
      <c r="P24" s="135" t="s">
        <v>108</v>
      </c>
      <c r="Q24" s="267">
        <v>1240.8065999999999</v>
      </c>
    </row>
    <row r="25" spans="2:17" x14ac:dyDescent="0.35">
      <c r="B25" s="96" t="s">
        <v>44</v>
      </c>
      <c r="C25" s="162" t="s">
        <v>207</v>
      </c>
      <c r="D25" s="135" t="s">
        <v>107</v>
      </c>
      <c r="E25" s="267">
        <v>32.499899999999997</v>
      </c>
      <c r="F25" s="134">
        <v>0</v>
      </c>
      <c r="G25" s="267">
        <v>0</v>
      </c>
      <c r="H25" s="267">
        <v>0</v>
      </c>
      <c r="I25" s="159"/>
      <c r="J25" s="135">
        <v>0</v>
      </c>
      <c r="K25" s="135">
        <v>0</v>
      </c>
      <c r="L25" s="135">
        <v>0</v>
      </c>
      <c r="M25" s="135">
        <v>0</v>
      </c>
      <c r="N25" s="135">
        <v>0</v>
      </c>
      <c r="O25" s="135">
        <v>0</v>
      </c>
      <c r="P25" s="135" t="s">
        <v>108</v>
      </c>
      <c r="Q25" s="267">
        <v>30.9999</v>
      </c>
    </row>
    <row r="26" spans="2:17" x14ac:dyDescent="0.35">
      <c r="B26" s="96" t="s">
        <v>45</v>
      </c>
      <c r="C26" s="162" t="s">
        <v>208</v>
      </c>
      <c r="D26" s="135" t="s">
        <v>107</v>
      </c>
      <c r="E26" s="267">
        <v>259.99920000000003</v>
      </c>
      <c r="F26" s="134">
        <v>129.99959999999999</v>
      </c>
      <c r="G26" s="267">
        <v>0</v>
      </c>
      <c r="H26" s="267">
        <v>66.299800000000005</v>
      </c>
      <c r="I26" s="159"/>
      <c r="J26" s="135">
        <v>0</v>
      </c>
      <c r="K26" s="135">
        <v>0</v>
      </c>
      <c r="L26" s="135">
        <v>0</v>
      </c>
      <c r="M26" s="135">
        <v>0</v>
      </c>
      <c r="N26" s="135">
        <v>0</v>
      </c>
      <c r="O26" s="135">
        <v>0</v>
      </c>
      <c r="P26" s="135" t="s">
        <v>108</v>
      </c>
      <c r="Q26" s="267">
        <v>388.49880000000002</v>
      </c>
    </row>
    <row r="27" spans="2:17" x14ac:dyDescent="0.35">
      <c r="B27" s="96" t="s">
        <v>46</v>
      </c>
      <c r="C27" s="162" t="s">
        <v>209</v>
      </c>
      <c r="D27" s="135" t="s">
        <v>107</v>
      </c>
      <c r="E27" s="267">
        <v>240</v>
      </c>
      <c r="F27" s="134">
        <v>280</v>
      </c>
      <c r="G27" s="267">
        <v>9</v>
      </c>
      <c r="H27" s="267">
        <v>88.4</v>
      </c>
      <c r="I27" s="159"/>
      <c r="J27" s="135">
        <v>0</v>
      </c>
      <c r="K27" s="135">
        <v>0</v>
      </c>
      <c r="L27" s="135">
        <v>0</v>
      </c>
      <c r="M27" s="135">
        <v>0</v>
      </c>
      <c r="N27" s="135">
        <v>0</v>
      </c>
      <c r="O27" s="135">
        <v>0</v>
      </c>
      <c r="P27" s="135" t="s">
        <v>108</v>
      </c>
      <c r="Q27" s="267">
        <v>509.5</v>
      </c>
    </row>
    <row r="28" spans="2:17" x14ac:dyDescent="0.35">
      <c r="B28" s="96" t="s">
        <v>49</v>
      </c>
      <c r="C28" s="162" t="s">
        <v>210</v>
      </c>
      <c r="D28" s="135" t="s">
        <v>107</v>
      </c>
      <c r="E28" s="267">
        <v>1100</v>
      </c>
      <c r="F28" s="134">
        <v>646.15039999999999</v>
      </c>
      <c r="G28" s="267">
        <v>261.92259999999999</v>
      </c>
      <c r="H28" s="267">
        <v>157.15350000000001</v>
      </c>
      <c r="I28" s="159"/>
      <c r="J28" s="135">
        <v>4</v>
      </c>
      <c r="K28" s="135">
        <v>0</v>
      </c>
      <c r="L28" s="135">
        <v>0</v>
      </c>
      <c r="M28" s="135">
        <v>12</v>
      </c>
      <c r="N28" s="135">
        <v>0</v>
      </c>
      <c r="O28" s="135">
        <v>0</v>
      </c>
      <c r="P28" s="135" t="s">
        <v>108</v>
      </c>
      <c r="Q28" s="267">
        <v>1482.7277999999999</v>
      </c>
    </row>
    <row r="29" spans="2:17" x14ac:dyDescent="0.35">
      <c r="B29" s="96" t="s">
        <v>49</v>
      </c>
      <c r="C29" s="162" t="s">
        <v>210</v>
      </c>
      <c r="D29" s="135" t="s">
        <v>126</v>
      </c>
      <c r="E29" s="267">
        <v>1100</v>
      </c>
      <c r="F29" s="134">
        <v>641.82349999999997</v>
      </c>
      <c r="G29" s="267">
        <v>261.27350000000001</v>
      </c>
      <c r="H29" s="267">
        <v>156.76410000000001</v>
      </c>
      <c r="I29" s="159"/>
      <c r="J29" s="135">
        <v>3</v>
      </c>
      <c r="K29" s="135">
        <v>0</v>
      </c>
      <c r="L29" s="135">
        <v>3</v>
      </c>
      <c r="M29" s="135">
        <v>9</v>
      </c>
      <c r="N29" s="135">
        <v>0</v>
      </c>
      <c r="O29" s="135">
        <v>3</v>
      </c>
      <c r="P29" s="135" t="s">
        <v>108</v>
      </c>
      <c r="Q29" s="267">
        <v>1479.05</v>
      </c>
    </row>
    <row r="30" spans="2:17" x14ac:dyDescent="0.35">
      <c r="B30" s="96" t="s">
        <v>50</v>
      </c>
      <c r="C30" s="162" t="s">
        <v>211</v>
      </c>
      <c r="D30" s="135" t="s">
        <v>126</v>
      </c>
      <c r="E30" s="267">
        <v>24.9999</v>
      </c>
      <c r="F30" s="134">
        <v>0</v>
      </c>
      <c r="G30" s="267">
        <v>0</v>
      </c>
      <c r="H30" s="267">
        <v>0</v>
      </c>
      <c r="I30" s="159"/>
      <c r="J30" s="135">
        <v>0</v>
      </c>
      <c r="K30" s="135">
        <v>0</v>
      </c>
      <c r="L30" s="135">
        <v>0</v>
      </c>
      <c r="M30" s="135">
        <v>0</v>
      </c>
      <c r="N30" s="135">
        <v>0</v>
      </c>
      <c r="O30" s="135">
        <v>0</v>
      </c>
      <c r="P30" s="135" t="s">
        <v>108</v>
      </c>
      <c r="Q30" s="267">
        <v>23.4999</v>
      </c>
    </row>
    <row r="31" spans="2:17" x14ac:dyDescent="0.35">
      <c r="B31" s="96" t="s">
        <v>51</v>
      </c>
      <c r="C31" s="162" t="s">
        <v>212</v>
      </c>
      <c r="D31" s="135" t="s">
        <v>126</v>
      </c>
      <c r="E31" s="267">
        <v>199.99920000000003</v>
      </c>
      <c r="F31" s="134">
        <v>99.999599999999987</v>
      </c>
      <c r="G31" s="267">
        <v>0</v>
      </c>
      <c r="H31" s="267">
        <v>38.9998</v>
      </c>
      <c r="I31" s="159"/>
      <c r="J31" s="135">
        <v>0</v>
      </c>
      <c r="K31" s="135">
        <v>0</v>
      </c>
      <c r="L31" s="135">
        <v>0</v>
      </c>
      <c r="M31" s="135">
        <v>0</v>
      </c>
      <c r="N31" s="135">
        <v>0</v>
      </c>
      <c r="O31" s="135">
        <v>0</v>
      </c>
      <c r="P31" s="135" t="s">
        <v>108</v>
      </c>
      <c r="Q31" s="267">
        <v>298.49880000000002</v>
      </c>
    </row>
    <row r="32" spans="2:17" x14ac:dyDescent="0.35">
      <c r="B32" s="96" t="s">
        <v>52</v>
      </c>
      <c r="C32" s="162" t="s">
        <v>213</v>
      </c>
      <c r="D32" s="135" t="s">
        <v>126</v>
      </c>
      <c r="E32" s="267">
        <v>220.00079999999994</v>
      </c>
      <c r="F32" s="134">
        <v>330.00120000000004</v>
      </c>
      <c r="G32" s="267">
        <v>18.750699999999998</v>
      </c>
      <c r="H32" s="267">
        <v>71.500299999999996</v>
      </c>
      <c r="I32" s="159"/>
      <c r="J32" s="135">
        <v>0</v>
      </c>
      <c r="K32" s="135">
        <v>0</v>
      </c>
      <c r="L32" s="135">
        <v>0</v>
      </c>
      <c r="M32" s="135">
        <v>0</v>
      </c>
      <c r="N32" s="135">
        <v>0</v>
      </c>
      <c r="O32" s="135">
        <v>0</v>
      </c>
      <c r="P32" s="135" t="s">
        <v>108</v>
      </c>
      <c r="Q32" s="267">
        <v>529.75130000000001</v>
      </c>
    </row>
    <row r="33" spans="2:17" x14ac:dyDescent="0.35">
      <c r="B33" s="96" t="s">
        <v>58</v>
      </c>
      <c r="C33" s="162" t="s">
        <v>214</v>
      </c>
      <c r="D33" s="135" t="s">
        <v>126</v>
      </c>
      <c r="E33" s="267">
        <v>1700</v>
      </c>
      <c r="F33" s="134">
        <v>998.60320000000002</v>
      </c>
      <c r="G33" s="267">
        <v>337.3254</v>
      </c>
      <c r="H33" s="267">
        <v>350.8184</v>
      </c>
      <c r="I33" s="159"/>
      <c r="J33" s="135">
        <v>3</v>
      </c>
      <c r="K33" s="135">
        <v>0</v>
      </c>
      <c r="L33" s="135">
        <v>5</v>
      </c>
      <c r="M33" s="135">
        <v>12</v>
      </c>
      <c r="N33" s="135">
        <v>0</v>
      </c>
      <c r="O33" s="135">
        <v>5</v>
      </c>
      <c r="P33" s="135" t="s">
        <v>108</v>
      </c>
      <c r="Q33" s="267">
        <v>2359.7777999999998</v>
      </c>
    </row>
    <row r="34" spans="2:17" x14ac:dyDescent="0.35">
      <c r="B34" s="96" t="s">
        <v>65</v>
      </c>
      <c r="C34" s="162" t="s">
        <v>215</v>
      </c>
      <c r="D34" s="135" t="s">
        <v>126</v>
      </c>
      <c r="E34" s="267">
        <v>27.5001</v>
      </c>
      <c r="F34" s="134">
        <v>0</v>
      </c>
      <c r="G34" s="267">
        <v>0</v>
      </c>
      <c r="H34" s="267">
        <v>0</v>
      </c>
      <c r="I34" s="159"/>
      <c r="J34" s="135">
        <v>0</v>
      </c>
      <c r="K34" s="135">
        <v>0</v>
      </c>
      <c r="L34" s="135">
        <v>3</v>
      </c>
      <c r="M34" s="135">
        <v>0</v>
      </c>
      <c r="N34" s="135">
        <v>0</v>
      </c>
      <c r="O34" s="135">
        <v>3</v>
      </c>
      <c r="P34" s="135" t="s">
        <v>108</v>
      </c>
      <c r="Q34" s="267">
        <v>26.0001</v>
      </c>
    </row>
    <row r="35" spans="2:17" x14ac:dyDescent="0.35">
      <c r="B35" s="96" t="s">
        <v>65</v>
      </c>
      <c r="C35" s="162" t="s">
        <v>215</v>
      </c>
      <c r="D35" s="135" t="s">
        <v>126</v>
      </c>
      <c r="E35" s="267">
        <v>220.00079999999997</v>
      </c>
      <c r="F35" s="134">
        <v>110.00040000000001</v>
      </c>
      <c r="G35" s="267">
        <v>0</v>
      </c>
      <c r="H35" s="267">
        <v>29.700099999999999</v>
      </c>
      <c r="I35" s="159"/>
      <c r="J35" s="135">
        <v>0</v>
      </c>
      <c r="K35" s="135">
        <v>0</v>
      </c>
      <c r="L35" s="135">
        <v>4</v>
      </c>
      <c r="M35" s="135">
        <v>0</v>
      </c>
      <c r="N35" s="135">
        <v>0</v>
      </c>
      <c r="O35" s="135">
        <v>7</v>
      </c>
      <c r="P35" s="135" t="s">
        <v>108</v>
      </c>
      <c r="Q35" s="267">
        <v>328.50119999999998</v>
      </c>
    </row>
    <row r="36" spans="2:17" x14ac:dyDescent="0.35">
      <c r="B36" s="96" t="s">
        <v>59</v>
      </c>
      <c r="C36" s="162" t="s">
        <v>216</v>
      </c>
      <c r="D36" s="135" t="s">
        <v>126</v>
      </c>
      <c r="E36" s="267">
        <v>199.99920000000003</v>
      </c>
      <c r="F36" s="134">
        <v>99.999599999999987</v>
      </c>
      <c r="G36" s="267">
        <v>0</v>
      </c>
      <c r="H36" s="267">
        <v>26.9999</v>
      </c>
      <c r="I36" s="159"/>
      <c r="J36" s="135">
        <v>0</v>
      </c>
      <c r="K36" s="135">
        <v>0</v>
      </c>
      <c r="L36" s="135">
        <v>4</v>
      </c>
      <c r="M36" s="135">
        <v>0</v>
      </c>
      <c r="N36" s="135">
        <v>0</v>
      </c>
      <c r="O36" s="135">
        <v>4</v>
      </c>
      <c r="P36" s="135" t="s">
        <v>108</v>
      </c>
      <c r="Q36" s="267">
        <v>298.49880000000002</v>
      </c>
    </row>
    <row r="37" spans="2:17" x14ac:dyDescent="0.35">
      <c r="B37" s="96" t="s">
        <v>63</v>
      </c>
      <c r="C37" s="162" t="s">
        <v>217</v>
      </c>
      <c r="D37" s="135" t="s">
        <v>126</v>
      </c>
      <c r="E37" s="267">
        <v>220.00079999999994</v>
      </c>
      <c r="F37" s="134">
        <v>330.00120000000004</v>
      </c>
      <c r="G37" s="267">
        <v>11.250400000000001</v>
      </c>
      <c r="H37" s="267">
        <v>49.5002</v>
      </c>
      <c r="I37" s="159"/>
      <c r="J37" s="135">
        <v>0</v>
      </c>
      <c r="K37" s="135">
        <v>0</v>
      </c>
      <c r="L37" s="135">
        <v>0</v>
      </c>
      <c r="M37" s="135">
        <v>0</v>
      </c>
      <c r="N37" s="135">
        <v>0</v>
      </c>
      <c r="O37" s="135">
        <v>0</v>
      </c>
      <c r="P37" s="135" t="s">
        <v>108</v>
      </c>
      <c r="Q37" s="267">
        <v>537.25160000000005</v>
      </c>
    </row>
    <row r="38" spans="2:17" x14ac:dyDescent="0.35">
      <c r="B38" s="96" t="s">
        <v>64</v>
      </c>
      <c r="C38" s="162" t="s">
        <v>218</v>
      </c>
      <c r="D38" s="135" t="s">
        <v>126</v>
      </c>
      <c r="E38" s="267">
        <v>1700</v>
      </c>
      <c r="F38" s="134">
        <v>998.60320000000002</v>
      </c>
      <c r="G38" s="267">
        <v>202.39519999999999</v>
      </c>
      <c r="H38" s="267">
        <v>242.87430000000001</v>
      </c>
      <c r="I38" s="159"/>
      <c r="J38" s="135">
        <v>2.5</v>
      </c>
      <c r="K38" s="135">
        <v>0</v>
      </c>
      <c r="L38" s="135">
        <v>5</v>
      </c>
      <c r="M38" s="135">
        <v>12.5</v>
      </c>
      <c r="N38" s="135">
        <v>0</v>
      </c>
      <c r="O38" s="135">
        <v>5</v>
      </c>
      <c r="P38" s="135" t="s">
        <v>108</v>
      </c>
      <c r="Q38" s="267">
        <v>2494.7080000000001</v>
      </c>
    </row>
    <row r="39" spans="2:17" x14ac:dyDescent="0.35">
      <c r="B39" s="96" t="s">
        <v>60</v>
      </c>
      <c r="C39" s="162" t="s">
        <v>219</v>
      </c>
      <c r="D39" s="135" t="s">
        <v>126</v>
      </c>
      <c r="E39" s="267">
        <v>24.9999</v>
      </c>
      <c r="F39" s="134">
        <v>0</v>
      </c>
      <c r="G39" s="267">
        <v>0</v>
      </c>
      <c r="H39" s="267">
        <v>0</v>
      </c>
      <c r="I39" s="159"/>
      <c r="J39" s="135">
        <v>0</v>
      </c>
      <c r="K39" s="135">
        <v>0</v>
      </c>
      <c r="L39" s="135">
        <v>0</v>
      </c>
      <c r="M39" s="135">
        <v>0</v>
      </c>
      <c r="N39" s="135">
        <v>0</v>
      </c>
      <c r="O39" s="135">
        <v>0</v>
      </c>
      <c r="P39" s="135" t="s">
        <v>108</v>
      </c>
      <c r="Q39" s="267">
        <v>23.4999</v>
      </c>
    </row>
    <row r="40" spans="2:17" x14ac:dyDescent="0.35">
      <c r="B40" s="96" t="s">
        <v>61</v>
      </c>
      <c r="C40" s="162" t="s">
        <v>220</v>
      </c>
      <c r="D40" s="135" t="s">
        <v>126</v>
      </c>
      <c r="E40" s="267">
        <v>199.99920000000003</v>
      </c>
      <c r="F40" s="134">
        <v>99.999599999999987</v>
      </c>
      <c r="G40" s="267">
        <v>0</v>
      </c>
      <c r="H40" s="267">
        <v>22.4999</v>
      </c>
      <c r="I40" s="159"/>
      <c r="J40" s="135">
        <v>0</v>
      </c>
      <c r="K40" s="135">
        <v>0</v>
      </c>
      <c r="L40" s="135">
        <v>0</v>
      </c>
      <c r="M40" s="135">
        <v>0</v>
      </c>
      <c r="N40" s="135">
        <v>0</v>
      </c>
      <c r="O40" s="135">
        <v>0</v>
      </c>
      <c r="P40" s="135" t="s">
        <v>108</v>
      </c>
      <c r="Q40" s="267">
        <v>298.49880000000002</v>
      </c>
    </row>
    <row r="41" spans="2:17" x14ac:dyDescent="0.35">
      <c r="B41" s="96" t="s">
        <v>71</v>
      </c>
      <c r="C41" s="162" t="s">
        <v>221</v>
      </c>
      <c r="D41" s="135" t="s">
        <v>126</v>
      </c>
      <c r="E41" s="267">
        <v>220.00079999999994</v>
      </c>
      <c r="F41" s="134">
        <v>330.00120000000004</v>
      </c>
      <c r="G41" s="267">
        <v>7.5003000000000002</v>
      </c>
      <c r="H41" s="267">
        <v>41.250100000000003</v>
      </c>
      <c r="I41" s="159"/>
      <c r="J41" s="135">
        <v>0</v>
      </c>
      <c r="K41" s="135">
        <v>0</v>
      </c>
      <c r="L41" s="135">
        <v>0</v>
      </c>
      <c r="M41" s="135">
        <v>0</v>
      </c>
      <c r="N41" s="135">
        <v>0</v>
      </c>
      <c r="O41" s="135">
        <v>0</v>
      </c>
      <c r="P41" s="135" t="s">
        <v>108</v>
      </c>
      <c r="Q41" s="267">
        <v>541.00170000000003</v>
      </c>
    </row>
    <row r="42" spans="2:17" x14ac:dyDescent="0.35">
      <c r="B42" s="96" t="s">
        <v>73</v>
      </c>
      <c r="C42" s="162" t="s">
        <v>222</v>
      </c>
      <c r="D42" s="135" t="s">
        <v>106</v>
      </c>
      <c r="E42" s="267">
        <v>1100</v>
      </c>
      <c r="F42" s="134">
        <v>646.15039999999999</v>
      </c>
      <c r="G42" s="267">
        <v>87.307500000000005</v>
      </c>
      <c r="H42" s="267">
        <v>130.96129999999999</v>
      </c>
      <c r="I42" s="159"/>
      <c r="J42" s="135">
        <v>2.5</v>
      </c>
      <c r="K42" s="135">
        <v>0</v>
      </c>
      <c r="L42" s="135">
        <v>2</v>
      </c>
      <c r="M42" s="135">
        <v>12.5</v>
      </c>
      <c r="N42" s="135">
        <v>0</v>
      </c>
      <c r="O42" s="135">
        <v>2</v>
      </c>
      <c r="P42" s="135" t="s">
        <v>108</v>
      </c>
      <c r="Q42" s="267">
        <v>1657.3429000000001</v>
      </c>
    </row>
    <row r="43" spans="2:17" x14ac:dyDescent="0.35">
      <c r="B43" s="96" t="s">
        <v>73</v>
      </c>
      <c r="C43" s="162" t="s">
        <v>222</v>
      </c>
      <c r="D43" s="135" t="s">
        <v>107</v>
      </c>
      <c r="E43" s="267">
        <v>1100</v>
      </c>
      <c r="F43" s="134">
        <v>563.9393</v>
      </c>
      <c r="G43" s="267">
        <v>83.197000000000003</v>
      </c>
      <c r="H43" s="267">
        <v>124.7954</v>
      </c>
      <c r="I43" s="159"/>
      <c r="J43" s="135">
        <v>2.5</v>
      </c>
      <c r="K43" s="135">
        <v>0</v>
      </c>
      <c r="L43" s="135">
        <v>5</v>
      </c>
      <c r="M43" s="135">
        <v>10</v>
      </c>
      <c r="N43" s="135">
        <v>0</v>
      </c>
      <c r="O43" s="135">
        <v>7</v>
      </c>
      <c r="P43" s="135" t="s">
        <v>108</v>
      </c>
      <c r="Q43" s="267">
        <v>1579.2422999999999</v>
      </c>
    </row>
    <row r="44" spans="2:17" x14ac:dyDescent="0.35">
      <c r="B44" s="96" t="s">
        <v>73</v>
      </c>
      <c r="C44" s="162" t="s">
        <v>222</v>
      </c>
      <c r="D44" s="135" t="s">
        <v>126</v>
      </c>
      <c r="E44" s="267">
        <v>1100</v>
      </c>
      <c r="F44" s="134">
        <v>559.61239999999998</v>
      </c>
      <c r="G44" s="267">
        <v>82.980599999999995</v>
      </c>
      <c r="H44" s="267">
        <v>124.4709</v>
      </c>
      <c r="I44" s="159"/>
      <c r="J44" s="135">
        <v>3</v>
      </c>
      <c r="K44" s="135">
        <v>0</v>
      </c>
      <c r="L44" s="135">
        <v>0</v>
      </c>
      <c r="M44" s="135">
        <v>7</v>
      </c>
      <c r="N44" s="135">
        <v>0</v>
      </c>
      <c r="O44" s="135">
        <v>7</v>
      </c>
      <c r="P44" s="135" t="s">
        <v>108</v>
      </c>
      <c r="Q44" s="267">
        <v>1575.1318000000001</v>
      </c>
    </row>
    <row r="45" spans="2:17" x14ac:dyDescent="0.35">
      <c r="B45" s="96" t="s">
        <v>44</v>
      </c>
      <c r="C45" s="162" t="s">
        <v>223</v>
      </c>
      <c r="D45" s="135" t="s">
        <v>126</v>
      </c>
      <c r="E45" s="267">
        <v>32.499899999999997</v>
      </c>
      <c r="F45" s="134">
        <v>0</v>
      </c>
      <c r="G45" s="267">
        <v>0</v>
      </c>
      <c r="H45" s="267">
        <v>0</v>
      </c>
      <c r="I45" s="159"/>
      <c r="J45" s="135">
        <v>0</v>
      </c>
      <c r="K45" s="135">
        <v>0</v>
      </c>
      <c r="L45" s="135">
        <v>0</v>
      </c>
      <c r="M45" s="135">
        <v>0</v>
      </c>
      <c r="N45" s="135">
        <v>0</v>
      </c>
      <c r="O45" s="135">
        <v>0</v>
      </c>
      <c r="P45" s="135" t="s">
        <v>108</v>
      </c>
      <c r="Q45" s="267">
        <v>30.9999</v>
      </c>
    </row>
    <row r="46" spans="2:17" x14ac:dyDescent="0.35">
      <c r="B46" s="96" t="s">
        <v>45</v>
      </c>
      <c r="C46" s="162" t="s">
        <v>224</v>
      </c>
      <c r="D46" s="135" t="s">
        <v>126</v>
      </c>
      <c r="E46" s="267">
        <v>259.99920000000003</v>
      </c>
      <c r="F46" s="134">
        <v>129.99959999999999</v>
      </c>
      <c r="G46" s="267">
        <v>0</v>
      </c>
      <c r="H46" s="267">
        <v>66.299800000000005</v>
      </c>
      <c r="I46" s="159"/>
      <c r="J46" s="135">
        <v>0</v>
      </c>
      <c r="K46" s="135">
        <v>0</v>
      </c>
      <c r="L46" s="135">
        <v>0</v>
      </c>
      <c r="M46" s="135">
        <v>0</v>
      </c>
      <c r="N46" s="135">
        <v>0</v>
      </c>
      <c r="O46" s="135">
        <v>0</v>
      </c>
      <c r="P46" s="135" t="s">
        <v>108</v>
      </c>
      <c r="Q46" s="267">
        <v>388.49880000000002</v>
      </c>
    </row>
    <row r="47" spans="2:17" x14ac:dyDescent="0.35">
      <c r="B47" s="96" t="s">
        <v>45</v>
      </c>
      <c r="C47" s="162" t="s">
        <v>224</v>
      </c>
      <c r="D47" s="135" t="s">
        <v>107</v>
      </c>
      <c r="E47" s="267">
        <v>259.99920000000003</v>
      </c>
      <c r="F47" s="134">
        <v>476.66519999999997</v>
      </c>
      <c r="G47" s="267">
        <v>141.99860000000001</v>
      </c>
      <c r="H47" s="267">
        <v>125.2329</v>
      </c>
      <c r="I47" s="159"/>
      <c r="J47" s="135">
        <v>0</v>
      </c>
      <c r="K47" s="135">
        <v>0</v>
      </c>
      <c r="L47" s="135">
        <v>0</v>
      </c>
      <c r="M47" s="135">
        <v>0</v>
      </c>
      <c r="N47" s="135">
        <v>0</v>
      </c>
      <c r="O47" s="135">
        <v>0</v>
      </c>
      <c r="P47" s="135" t="s">
        <v>108</v>
      </c>
      <c r="Q47" s="267">
        <v>593.16579999999999</v>
      </c>
    </row>
    <row r="48" spans="2:17" x14ac:dyDescent="0.35">
      <c r="B48" s="96" t="s">
        <v>46</v>
      </c>
      <c r="C48" s="162" t="s">
        <v>225</v>
      </c>
      <c r="D48" s="135" t="s">
        <v>126</v>
      </c>
      <c r="E48" s="267">
        <v>240</v>
      </c>
      <c r="F48" s="134">
        <v>360</v>
      </c>
      <c r="G48" s="267">
        <v>60</v>
      </c>
      <c r="H48" s="267">
        <v>102</v>
      </c>
      <c r="I48" s="159"/>
      <c r="J48" s="135">
        <v>0</v>
      </c>
      <c r="K48" s="135">
        <v>0</v>
      </c>
      <c r="L48" s="135">
        <v>0</v>
      </c>
      <c r="M48" s="135">
        <v>0</v>
      </c>
      <c r="N48" s="135">
        <v>0</v>
      </c>
      <c r="O48" s="135">
        <v>0</v>
      </c>
      <c r="P48" s="135" t="s">
        <v>108</v>
      </c>
      <c r="Q48" s="267">
        <v>538.5</v>
      </c>
    </row>
    <row r="49" spans="2:17" x14ac:dyDescent="0.35">
      <c r="B49" s="96" t="s">
        <v>49</v>
      </c>
      <c r="C49" s="162" t="s">
        <v>226</v>
      </c>
      <c r="D49" s="135" t="s">
        <v>126</v>
      </c>
      <c r="E49" s="267">
        <v>1100</v>
      </c>
      <c r="F49" s="134">
        <v>646.15039999999999</v>
      </c>
      <c r="G49" s="267">
        <v>87.307500000000005</v>
      </c>
      <c r="H49" s="267">
        <v>296.84559999999999</v>
      </c>
      <c r="I49" s="159"/>
      <c r="J49" s="135">
        <v>4</v>
      </c>
      <c r="K49" s="135">
        <v>0</v>
      </c>
      <c r="L49" s="135">
        <v>0</v>
      </c>
      <c r="M49" s="135">
        <v>12</v>
      </c>
      <c r="N49" s="135">
        <v>0</v>
      </c>
      <c r="O49" s="135">
        <v>0</v>
      </c>
      <c r="P49" s="135" t="s">
        <v>108</v>
      </c>
      <c r="Q49" s="267">
        <v>1657.3429000000001</v>
      </c>
    </row>
    <row r="50" spans="2:17" x14ac:dyDescent="0.35">
      <c r="B50" s="96" t="s">
        <v>49</v>
      </c>
      <c r="C50" s="162" t="s">
        <v>226</v>
      </c>
      <c r="D50" s="135" t="s">
        <v>107</v>
      </c>
      <c r="E50" s="267">
        <v>1100</v>
      </c>
      <c r="F50" s="134">
        <v>563.9393</v>
      </c>
      <c r="G50" s="267">
        <v>83.197000000000003</v>
      </c>
      <c r="H50" s="267">
        <v>282.86970000000002</v>
      </c>
      <c r="I50" s="159"/>
      <c r="J50" s="135">
        <v>3</v>
      </c>
      <c r="K50" s="135">
        <v>0</v>
      </c>
      <c r="L50" s="135">
        <v>5</v>
      </c>
      <c r="M50" s="135">
        <v>9</v>
      </c>
      <c r="N50" s="135">
        <v>0</v>
      </c>
      <c r="O50" s="135">
        <v>5</v>
      </c>
      <c r="P50" s="135" t="s">
        <v>108</v>
      </c>
      <c r="Q50" s="267">
        <v>1579.2422999999999</v>
      </c>
    </row>
    <row r="51" spans="2:17" x14ac:dyDescent="0.35">
      <c r="B51" s="96" t="s">
        <v>50</v>
      </c>
      <c r="C51" s="162" t="s">
        <v>227</v>
      </c>
      <c r="D51" s="135" t="s">
        <v>107</v>
      </c>
      <c r="E51" s="267">
        <v>24.9999</v>
      </c>
      <c r="F51" s="134">
        <v>0</v>
      </c>
      <c r="G51" s="267">
        <v>0</v>
      </c>
      <c r="H51" s="267">
        <v>0</v>
      </c>
      <c r="I51" s="159"/>
      <c r="J51" s="135">
        <v>0</v>
      </c>
      <c r="K51" s="135">
        <v>0</v>
      </c>
      <c r="L51" s="135">
        <v>5</v>
      </c>
      <c r="M51" s="135">
        <v>0</v>
      </c>
      <c r="N51" s="135">
        <v>0</v>
      </c>
      <c r="O51" s="135">
        <v>5</v>
      </c>
      <c r="P51" s="135" t="s">
        <v>108</v>
      </c>
      <c r="Q51" s="267">
        <v>23.4999</v>
      </c>
    </row>
    <row r="52" spans="2:17" x14ac:dyDescent="0.35">
      <c r="B52" s="96" t="s">
        <v>51</v>
      </c>
      <c r="C52" s="162" t="s">
        <v>228</v>
      </c>
      <c r="D52" s="135" t="s">
        <v>107</v>
      </c>
      <c r="E52" s="267">
        <v>199.99920000000003</v>
      </c>
      <c r="F52" s="134">
        <v>99.999599999999987</v>
      </c>
      <c r="G52" s="267">
        <v>0</v>
      </c>
      <c r="H52" s="267">
        <v>38.9998</v>
      </c>
      <c r="I52" s="159"/>
      <c r="J52" s="135">
        <v>0</v>
      </c>
      <c r="K52" s="135">
        <v>0</v>
      </c>
      <c r="L52" s="135">
        <v>0</v>
      </c>
      <c r="M52" s="135">
        <v>0</v>
      </c>
      <c r="N52" s="135">
        <v>0</v>
      </c>
      <c r="O52" s="135">
        <v>0</v>
      </c>
      <c r="P52" s="135" t="s">
        <v>108</v>
      </c>
      <c r="Q52" s="267">
        <v>298.49880000000002</v>
      </c>
    </row>
    <row r="53" spans="2:17" x14ac:dyDescent="0.35">
      <c r="B53" s="96" t="s">
        <v>52</v>
      </c>
      <c r="C53" s="162" t="s">
        <v>229</v>
      </c>
      <c r="D53" s="135" t="s">
        <v>107</v>
      </c>
      <c r="E53" s="267">
        <v>220.00079999999994</v>
      </c>
      <c r="F53" s="134">
        <v>330.00120000000004</v>
      </c>
      <c r="G53" s="267">
        <v>19.500800000000002</v>
      </c>
      <c r="H53" s="267">
        <v>71.500299999999996</v>
      </c>
      <c r="I53" s="159"/>
      <c r="J53" s="135">
        <v>0</v>
      </c>
      <c r="K53" s="135">
        <v>0</v>
      </c>
      <c r="L53" s="135">
        <v>0</v>
      </c>
      <c r="M53" s="135">
        <v>0</v>
      </c>
      <c r="N53" s="135">
        <v>0</v>
      </c>
      <c r="O53" s="135">
        <v>0</v>
      </c>
      <c r="P53" s="135" t="s">
        <v>108</v>
      </c>
      <c r="Q53" s="267">
        <v>529.00120000000004</v>
      </c>
    </row>
    <row r="54" spans="2:17" x14ac:dyDescent="0.35">
      <c r="B54" s="96" t="s">
        <v>58</v>
      </c>
      <c r="C54" s="162" t="s">
        <v>230</v>
      </c>
      <c r="D54" s="135" t="s">
        <v>107</v>
      </c>
      <c r="E54" s="267">
        <v>1700</v>
      </c>
      <c r="F54" s="134">
        <v>998.60320000000002</v>
      </c>
      <c r="G54" s="267">
        <v>350.8184</v>
      </c>
      <c r="H54" s="267">
        <v>350.8184</v>
      </c>
      <c r="I54" s="159"/>
      <c r="J54" s="135">
        <v>4</v>
      </c>
      <c r="K54" s="135">
        <v>0</v>
      </c>
      <c r="L54" s="135">
        <v>0</v>
      </c>
      <c r="M54" s="135">
        <v>11</v>
      </c>
      <c r="N54" s="135">
        <v>0</v>
      </c>
      <c r="O54" s="135">
        <v>0</v>
      </c>
      <c r="P54" s="135" t="s">
        <v>108</v>
      </c>
      <c r="Q54" s="267">
        <v>2346.2847999999999</v>
      </c>
    </row>
    <row r="55" spans="2:17" x14ac:dyDescent="0.35">
      <c r="B55" s="96" t="s">
        <v>58</v>
      </c>
      <c r="C55" s="162" t="s">
        <v>230</v>
      </c>
      <c r="D55" s="135" t="s">
        <v>126</v>
      </c>
      <c r="E55" s="267">
        <v>1700</v>
      </c>
      <c r="F55" s="134">
        <v>864.86170000000004</v>
      </c>
      <c r="G55" s="267">
        <v>333.43200000000002</v>
      </c>
      <c r="H55" s="267">
        <v>333.43200000000002</v>
      </c>
      <c r="I55" s="159"/>
      <c r="J55" s="135">
        <v>2.5</v>
      </c>
      <c r="K55" s="135">
        <v>0</v>
      </c>
      <c r="L55" s="135">
        <v>4</v>
      </c>
      <c r="M55" s="135">
        <v>8.5</v>
      </c>
      <c r="N55" s="135">
        <v>0</v>
      </c>
      <c r="O55" s="135">
        <v>4</v>
      </c>
      <c r="P55" s="135" t="s">
        <v>108</v>
      </c>
      <c r="Q55" s="267">
        <v>2229.9297000000001</v>
      </c>
    </row>
    <row r="56" spans="2:17" x14ac:dyDescent="0.35">
      <c r="B56" s="96" t="s">
        <v>65</v>
      </c>
      <c r="C56" s="162" t="s">
        <v>231</v>
      </c>
      <c r="D56" s="135" t="s">
        <v>126</v>
      </c>
      <c r="E56" s="267">
        <v>27.5001</v>
      </c>
      <c r="F56" s="134">
        <v>0</v>
      </c>
      <c r="G56" s="267">
        <v>0</v>
      </c>
      <c r="H56" s="267">
        <v>0</v>
      </c>
      <c r="I56" s="159"/>
      <c r="J56" s="135">
        <v>0</v>
      </c>
      <c r="K56" s="135">
        <v>0</v>
      </c>
      <c r="L56" s="135">
        <v>4</v>
      </c>
      <c r="M56" s="135">
        <v>1.5</v>
      </c>
      <c r="N56" s="135">
        <v>0</v>
      </c>
      <c r="O56" s="135">
        <v>4</v>
      </c>
      <c r="P56" s="135" t="s">
        <v>108</v>
      </c>
      <c r="Q56" s="267">
        <v>26.0001</v>
      </c>
    </row>
    <row r="57" spans="2:17" x14ac:dyDescent="0.35">
      <c r="B57" s="96" t="s">
        <v>59</v>
      </c>
      <c r="C57" s="162" t="s">
        <v>232</v>
      </c>
      <c r="D57" s="135" t="s">
        <v>126</v>
      </c>
      <c r="E57" s="267">
        <v>199.99920000000003</v>
      </c>
      <c r="F57" s="134">
        <v>99.999599999999987</v>
      </c>
      <c r="G57" s="267">
        <v>0</v>
      </c>
      <c r="H57" s="267">
        <v>26.9999</v>
      </c>
      <c r="I57" s="159"/>
      <c r="J57" s="135">
        <v>0</v>
      </c>
      <c r="K57" s="135">
        <v>0</v>
      </c>
      <c r="L57" s="135">
        <v>0</v>
      </c>
      <c r="M57" s="135">
        <v>0</v>
      </c>
      <c r="N57" s="135">
        <v>0</v>
      </c>
      <c r="O57" s="135">
        <v>0</v>
      </c>
      <c r="P57" s="135" t="s">
        <v>108</v>
      </c>
      <c r="Q57" s="267">
        <v>298.49880000000002</v>
      </c>
    </row>
    <row r="58" spans="2:17" x14ac:dyDescent="0.35">
      <c r="B58" s="96" t="s">
        <v>63</v>
      </c>
      <c r="C58" s="162" t="s">
        <v>233</v>
      </c>
      <c r="D58" s="135" t="s">
        <v>126</v>
      </c>
      <c r="E58" s="267">
        <v>220.00079999999994</v>
      </c>
      <c r="F58" s="134">
        <v>330.00120000000004</v>
      </c>
      <c r="G58" s="267">
        <v>11.250400000000001</v>
      </c>
      <c r="H58" s="267">
        <v>49.5002</v>
      </c>
      <c r="I58" s="159"/>
      <c r="J58" s="135">
        <v>0</v>
      </c>
      <c r="K58" s="135">
        <v>0</v>
      </c>
      <c r="L58" s="135">
        <v>4</v>
      </c>
      <c r="M58" s="135">
        <v>0</v>
      </c>
      <c r="N58" s="135">
        <v>0</v>
      </c>
      <c r="O58" s="135">
        <v>4</v>
      </c>
      <c r="P58" s="135" t="s">
        <v>108</v>
      </c>
      <c r="Q58" s="267">
        <v>537.25160000000005</v>
      </c>
    </row>
    <row r="59" spans="2:17" x14ac:dyDescent="0.35">
      <c r="B59" s="96" t="s">
        <v>64</v>
      </c>
      <c r="C59" s="162" t="s">
        <v>234</v>
      </c>
      <c r="D59" s="135" t="s">
        <v>107</v>
      </c>
      <c r="E59" s="267">
        <v>1700</v>
      </c>
      <c r="F59" s="134">
        <v>998.60320000000002</v>
      </c>
      <c r="G59" s="267">
        <v>202.39519999999999</v>
      </c>
      <c r="H59" s="267">
        <v>242.87430000000001</v>
      </c>
      <c r="I59" s="159"/>
      <c r="J59" s="135">
        <v>2.5</v>
      </c>
      <c r="K59" s="135">
        <v>0</v>
      </c>
      <c r="L59" s="135">
        <v>4</v>
      </c>
      <c r="M59" s="135">
        <v>12.5</v>
      </c>
      <c r="N59" s="135">
        <v>0</v>
      </c>
      <c r="O59" s="135">
        <v>4</v>
      </c>
      <c r="P59" s="135" t="s">
        <v>108</v>
      </c>
      <c r="Q59" s="267">
        <v>2494.7080000000001</v>
      </c>
    </row>
    <row r="60" spans="2:17" x14ac:dyDescent="0.35">
      <c r="B60" s="96" t="s">
        <v>64</v>
      </c>
      <c r="C60" s="162" t="s">
        <v>234</v>
      </c>
      <c r="D60" s="135" t="s">
        <v>126</v>
      </c>
      <c r="E60" s="267">
        <v>1700</v>
      </c>
      <c r="F60" s="134">
        <v>951.79367500000001</v>
      </c>
      <c r="G60" s="267">
        <v>198.8845</v>
      </c>
      <c r="H60" s="267">
        <v>238.66139999999999</v>
      </c>
      <c r="I60" s="159"/>
      <c r="J60" s="135">
        <v>1.5</v>
      </c>
      <c r="K60" s="135">
        <v>1</v>
      </c>
      <c r="L60" s="135">
        <v>4</v>
      </c>
      <c r="M60" s="135">
        <v>11</v>
      </c>
      <c r="N60" s="135">
        <v>1</v>
      </c>
      <c r="O60" s="135">
        <v>8</v>
      </c>
      <c r="P60" s="135" t="s">
        <v>108</v>
      </c>
      <c r="Q60" s="267">
        <v>2451.4091749999998</v>
      </c>
    </row>
    <row r="61" spans="2:17" x14ac:dyDescent="0.35">
      <c r="B61" s="96" t="s">
        <v>60</v>
      </c>
      <c r="C61" s="162" t="s">
        <v>235</v>
      </c>
      <c r="D61" s="135" t="s">
        <v>126</v>
      </c>
      <c r="E61" s="267">
        <v>24.9999</v>
      </c>
      <c r="F61" s="134">
        <v>0</v>
      </c>
      <c r="G61" s="267">
        <v>0</v>
      </c>
      <c r="H61" s="267">
        <v>0</v>
      </c>
      <c r="I61" s="159"/>
      <c r="J61" s="135">
        <v>0</v>
      </c>
      <c r="K61" s="135">
        <v>0</v>
      </c>
      <c r="L61" s="135">
        <v>4</v>
      </c>
      <c r="M61" s="135">
        <v>0</v>
      </c>
      <c r="N61" s="135">
        <v>0</v>
      </c>
      <c r="O61" s="135">
        <v>4</v>
      </c>
      <c r="P61" s="135" t="s">
        <v>151</v>
      </c>
      <c r="Q61" s="267">
        <v>23.4999</v>
      </c>
    </row>
    <row r="62" spans="2:17" x14ac:dyDescent="0.35">
      <c r="B62" s="96" t="s">
        <v>61</v>
      </c>
      <c r="C62" s="162" t="s">
        <v>236</v>
      </c>
      <c r="D62" s="135" t="s">
        <v>126</v>
      </c>
      <c r="E62" s="267">
        <v>199.99920000000003</v>
      </c>
      <c r="F62" s="134">
        <v>99.999599999999987</v>
      </c>
      <c r="G62" s="267">
        <v>0</v>
      </c>
      <c r="H62" s="267">
        <v>22.4999</v>
      </c>
      <c r="I62" s="159"/>
      <c r="J62" s="135">
        <v>0</v>
      </c>
      <c r="K62" s="135">
        <v>0</v>
      </c>
      <c r="L62" s="135">
        <v>4</v>
      </c>
      <c r="M62" s="135">
        <v>1.5</v>
      </c>
      <c r="N62" s="135">
        <v>0</v>
      </c>
      <c r="O62" s="135">
        <v>4</v>
      </c>
      <c r="P62" s="135" t="s">
        <v>151</v>
      </c>
      <c r="Q62" s="267">
        <v>298.49880000000002</v>
      </c>
    </row>
    <row r="63" spans="2:17" x14ac:dyDescent="0.35">
      <c r="B63" s="96" t="s">
        <v>71</v>
      </c>
      <c r="C63" s="162" t="s">
        <v>237</v>
      </c>
      <c r="D63" s="135" t="s">
        <v>126</v>
      </c>
      <c r="E63" s="267">
        <v>220.00079999999994</v>
      </c>
      <c r="F63" s="134">
        <v>330.00120000000004</v>
      </c>
      <c r="G63" s="267">
        <v>7.5003000000000002</v>
      </c>
      <c r="H63" s="267">
        <v>41.250100000000003</v>
      </c>
      <c r="I63" s="159"/>
      <c r="J63" s="135">
        <v>0</v>
      </c>
      <c r="K63" s="135">
        <v>0</v>
      </c>
      <c r="L63" s="135">
        <v>2</v>
      </c>
      <c r="M63" s="135">
        <v>0</v>
      </c>
      <c r="N63" s="135">
        <v>0</v>
      </c>
      <c r="O63" s="135">
        <v>2</v>
      </c>
      <c r="P63" s="135" t="s">
        <v>151</v>
      </c>
      <c r="Q63" s="267">
        <v>541.00170000000003</v>
      </c>
    </row>
    <row r="64" spans="2:17" x14ac:dyDescent="0.35">
      <c r="B64" s="96" t="s">
        <v>73</v>
      </c>
      <c r="C64" s="162" t="s">
        <v>238</v>
      </c>
      <c r="D64" s="135" t="s">
        <v>107</v>
      </c>
      <c r="E64" s="267">
        <v>1100</v>
      </c>
      <c r="F64" s="134">
        <v>389.42099999999999</v>
      </c>
      <c r="G64" s="267">
        <v>74.471100000000007</v>
      </c>
      <c r="H64" s="267">
        <v>111.70659999999999</v>
      </c>
      <c r="I64" s="159">
        <v>0</v>
      </c>
      <c r="J64" s="135">
        <v>4</v>
      </c>
      <c r="K64" s="135">
        <v>0</v>
      </c>
      <c r="L64" s="135">
        <v>2</v>
      </c>
      <c r="M64" s="135">
        <v>11</v>
      </c>
      <c r="N64" s="135">
        <v>0</v>
      </c>
      <c r="O64" s="135">
        <v>2</v>
      </c>
      <c r="P64" s="135" t="s">
        <v>151</v>
      </c>
      <c r="Q64" s="267">
        <v>1413.4499000000001</v>
      </c>
    </row>
    <row r="65" spans="2:17" x14ac:dyDescent="0.35">
      <c r="B65" s="96" t="s">
        <v>73</v>
      </c>
      <c r="C65" s="162" t="s">
        <v>238</v>
      </c>
      <c r="D65" s="135" t="s">
        <v>126</v>
      </c>
      <c r="E65" s="267">
        <v>1100</v>
      </c>
      <c r="F65" s="134">
        <v>513.4588</v>
      </c>
      <c r="G65" s="267">
        <v>80.672899999999998</v>
      </c>
      <c r="H65" s="267">
        <v>121.0094</v>
      </c>
      <c r="I65" s="159">
        <v>0</v>
      </c>
      <c r="J65" s="135">
        <v>3</v>
      </c>
      <c r="K65" s="135">
        <v>1</v>
      </c>
      <c r="L65" s="135">
        <v>2</v>
      </c>
      <c r="M65" s="135">
        <v>8</v>
      </c>
      <c r="N65" s="135">
        <v>1</v>
      </c>
      <c r="O65" s="135">
        <v>4</v>
      </c>
      <c r="P65" s="135" t="s">
        <v>151</v>
      </c>
      <c r="Q65" s="267">
        <v>1531.2859000000001</v>
      </c>
    </row>
    <row r="66" spans="2:17" x14ac:dyDescent="0.35">
      <c r="B66" s="96" t="s">
        <v>44</v>
      </c>
      <c r="C66" s="162" t="s">
        <v>239</v>
      </c>
      <c r="D66" s="135" t="s">
        <v>106</v>
      </c>
      <c r="E66" s="267">
        <v>32.499899999999997</v>
      </c>
      <c r="F66" s="134">
        <v>0</v>
      </c>
      <c r="G66" s="267">
        <v>0</v>
      </c>
      <c r="H66" s="267">
        <v>0</v>
      </c>
      <c r="I66" s="159">
        <v>0</v>
      </c>
      <c r="J66" s="135">
        <v>0</v>
      </c>
      <c r="K66" s="135">
        <v>0</v>
      </c>
      <c r="L66" s="135">
        <v>2</v>
      </c>
      <c r="M66" s="135">
        <v>0</v>
      </c>
      <c r="N66" s="135">
        <v>0</v>
      </c>
      <c r="O66" s="135">
        <v>2</v>
      </c>
      <c r="P66" s="135" t="s">
        <v>151</v>
      </c>
      <c r="Q66" s="267">
        <v>30.9999</v>
      </c>
    </row>
    <row r="67" spans="2:17" x14ac:dyDescent="0.35">
      <c r="B67" s="96" t="s">
        <v>44</v>
      </c>
      <c r="C67" s="162" t="s">
        <v>239</v>
      </c>
      <c r="D67" s="135" t="s">
        <v>126</v>
      </c>
      <c r="E67" s="267">
        <v>259.99920000000009</v>
      </c>
      <c r="F67" s="134">
        <v>389.99879999999996</v>
      </c>
      <c r="G67" s="267">
        <v>89.998800000000003</v>
      </c>
      <c r="H67" s="267">
        <v>110.4997</v>
      </c>
      <c r="I67" s="159">
        <v>0</v>
      </c>
      <c r="J67" s="135">
        <v>0</v>
      </c>
      <c r="K67" s="135">
        <v>0</v>
      </c>
      <c r="L67" s="135">
        <v>2</v>
      </c>
      <c r="M67" s="135">
        <v>0</v>
      </c>
      <c r="N67" s="135">
        <v>0</v>
      </c>
      <c r="O67" s="135">
        <v>4</v>
      </c>
      <c r="P67" s="135" t="s">
        <v>151</v>
      </c>
      <c r="Q67" s="267">
        <v>558.49919999999997</v>
      </c>
    </row>
    <row r="68" spans="2:17" x14ac:dyDescent="0.35">
      <c r="B68" s="96" t="s">
        <v>45</v>
      </c>
      <c r="C68" s="162" t="s">
        <v>240</v>
      </c>
      <c r="D68" s="135" t="s">
        <v>106</v>
      </c>
      <c r="E68" s="267">
        <v>259.99920000000009</v>
      </c>
      <c r="F68" s="134">
        <v>389.99879999999996</v>
      </c>
      <c r="G68" s="267">
        <v>89.998800000000003</v>
      </c>
      <c r="H68" s="267">
        <v>110.4997</v>
      </c>
      <c r="I68" s="159">
        <v>0</v>
      </c>
      <c r="J68" s="135">
        <v>0</v>
      </c>
      <c r="K68" s="135">
        <v>0</v>
      </c>
      <c r="L68" s="135">
        <v>2</v>
      </c>
      <c r="M68" s="135">
        <v>0</v>
      </c>
      <c r="N68" s="135">
        <v>0</v>
      </c>
      <c r="O68" s="135">
        <v>2</v>
      </c>
      <c r="P68" s="135" t="s">
        <v>151</v>
      </c>
      <c r="Q68" s="267">
        <v>558.49919999999997</v>
      </c>
    </row>
    <row r="69" spans="2:17" x14ac:dyDescent="0.35">
      <c r="B69" s="96" t="s">
        <v>46</v>
      </c>
      <c r="C69" s="162" t="s">
        <v>241</v>
      </c>
      <c r="D69" s="135" t="s">
        <v>106</v>
      </c>
      <c r="E69" s="267">
        <v>240</v>
      </c>
      <c r="F69" s="134">
        <v>245</v>
      </c>
      <c r="G69" s="267">
        <v>0</v>
      </c>
      <c r="H69" s="267">
        <v>82.45</v>
      </c>
      <c r="I69" s="159">
        <v>0</v>
      </c>
      <c r="J69" s="135">
        <v>0</v>
      </c>
      <c r="K69" s="135">
        <v>0</v>
      </c>
      <c r="L69" s="135">
        <v>2</v>
      </c>
      <c r="M69" s="135">
        <v>0</v>
      </c>
      <c r="N69" s="135">
        <v>0</v>
      </c>
      <c r="O69" s="135">
        <v>2</v>
      </c>
      <c r="P69" s="135" t="s">
        <v>151</v>
      </c>
      <c r="Q69" s="267">
        <v>483.5</v>
      </c>
    </row>
    <row r="70" spans="2:17" x14ac:dyDescent="0.35">
      <c r="B70" s="96" t="s">
        <v>49</v>
      </c>
      <c r="C70" s="162" t="s">
        <v>242</v>
      </c>
      <c r="D70" s="135" t="s">
        <v>106</v>
      </c>
      <c r="E70" s="267">
        <v>1100</v>
      </c>
      <c r="F70" s="134">
        <v>646.15039999999999</v>
      </c>
      <c r="G70" s="267">
        <v>87.307500000000005</v>
      </c>
      <c r="H70" s="267">
        <v>296.84559999999999</v>
      </c>
      <c r="I70" s="159">
        <v>0</v>
      </c>
      <c r="J70" s="135">
        <v>4</v>
      </c>
      <c r="K70" s="135">
        <v>0</v>
      </c>
      <c r="L70" s="135">
        <v>2</v>
      </c>
      <c r="M70" s="135">
        <v>12</v>
      </c>
      <c r="N70" s="135">
        <v>0</v>
      </c>
      <c r="O70" s="135">
        <v>2</v>
      </c>
      <c r="P70" s="135" t="s">
        <v>151</v>
      </c>
      <c r="Q70" s="267">
        <v>1657.3429000000001</v>
      </c>
    </row>
    <row r="71" spans="2:17" x14ac:dyDescent="0.35">
      <c r="B71" s="96" t="s">
        <v>49</v>
      </c>
      <c r="C71" s="162" t="s">
        <v>242</v>
      </c>
      <c r="D71" s="135" t="s">
        <v>126</v>
      </c>
      <c r="E71" s="267">
        <v>1100</v>
      </c>
      <c r="F71" s="134">
        <v>641.82349999999997</v>
      </c>
      <c r="G71" s="267">
        <v>87.091200000000001</v>
      </c>
      <c r="H71" s="267">
        <v>296.11</v>
      </c>
      <c r="I71" s="159">
        <v>0</v>
      </c>
      <c r="J71" s="135">
        <v>4</v>
      </c>
      <c r="K71" s="135">
        <v>0</v>
      </c>
      <c r="L71" s="135">
        <v>2</v>
      </c>
      <c r="M71" s="135">
        <v>8</v>
      </c>
      <c r="N71" s="135">
        <v>0</v>
      </c>
      <c r="O71" s="135">
        <v>4</v>
      </c>
      <c r="P71" s="135" t="s">
        <v>151</v>
      </c>
      <c r="Q71" s="267">
        <v>1653.2322999999999</v>
      </c>
    </row>
    <row r="72" spans="2:17" x14ac:dyDescent="0.35">
      <c r="B72" s="96" t="s">
        <v>50</v>
      </c>
      <c r="C72" s="162" t="s">
        <v>243</v>
      </c>
      <c r="D72" s="135" t="s">
        <v>107</v>
      </c>
      <c r="E72" s="267">
        <v>24.9999</v>
      </c>
      <c r="F72" s="134">
        <v>0</v>
      </c>
      <c r="G72" s="267">
        <v>0</v>
      </c>
      <c r="H72" s="267">
        <v>0</v>
      </c>
      <c r="I72" s="159">
        <v>0</v>
      </c>
      <c r="J72" s="135">
        <v>0</v>
      </c>
      <c r="K72" s="135">
        <v>0</v>
      </c>
      <c r="L72" s="135">
        <v>0</v>
      </c>
      <c r="M72" s="135">
        <v>0</v>
      </c>
      <c r="N72" s="135">
        <v>0</v>
      </c>
      <c r="O72" s="135">
        <v>0</v>
      </c>
      <c r="P72" s="135" t="s">
        <v>151</v>
      </c>
      <c r="Q72" s="267">
        <v>23.4999</v>
      </c>
    </row>
    <row r="73" spans="2:17" x14ac:dyDescent="0.35">
      <c r="B73" s="96" t="s">
        <v>50</v>
      </c>
      <c r="C73" s="162" t="s">
        <v>243</v>
      </c>
      <c r="D73" s="135" t="s">
        <v>126</v>
      </c>
      <c r="E73" s="267">
        <v>199.99920000000003</v>
      </c>
      <c r="F73" s="134">
        <v>99.999599999999987</v>
      </c>
      <c r="G73" s="267">
        <v>0</v>
      </c>
      <c r="H73" s="267">
        <v>38.9998</v>
      </c>
      <c r="I73" s="159">
        <v>0</v>
      </c>
      <c r="J73" s="135">
        <v>0</v>
      </c>
      <c r="K73" s="135">
        <v>0</v>
      </c>
      <c r="L73" s="135">
        <v>0</v>
      </c>
      <c r="M73" s="135">
        <v>0</v>
      </c>
      <c r="N73" s="135">
        <v>0</v>
      </c>
      <c r="O73" s="135">
        <v>0</v>
      </c>
      <c r="P73" s="135" t="s">
        <v>151</v>
      </c>
      <c r="Q73" s="267">
        <v>298.49880000000002</v>
      </c>
    </row>
    <row r="74" spans="2:17" x14ac:dyDescent="0.35">
      <c r="B74" s="96" t="s">
        <v>52</v>
      </c>
      <c r="C74" s="162" t="s">
        <v>244</v>
      </c>
      <c r="D74" s="135" t="s">
        <v>126</v>
      </c>
      <c r="E74" s="267">
        <v>220.00079999999994</v>
      </c>
      <c r="F74" s="134">
        <v>330.00120000000004</v>
      </c>
      <c r="G74" s="267">
        <v>19.500800000000002</v>
      </c>
      <c r="H74" s="267">
        <v>71.500299999999996</v>
      </c>
      <c r="I74" s="159">
        <v>0</v>
      </c>
      <c r="J74" s="135">
        <v>0</v>
      </c>
      <c r="K74" s="135">
        <v>0</v>
      </c>
      <c r="L74" s="135">
        <v>0</v>
      </c>
      <c r="M74" s="135">
        <v>0</v>
      </c>
      <c r="N74" s="135">
        <v>0</v>
      </c>
      <c r="O74" s="135">
        <v>0</v>
      </c>
      <c r="P74" s="135" t="s">
        <v>151</v>
      </c>
      <c r="Q74" s="267">
        <v>529.00120000000004</v>
      </c>
    </row>
    <row r="75" spans="2:17" x14ac:dyDescent="0.35">
      <c r="B75" s="96" t="s">
        <v>58</v>
      </c>
      <c r="C75" s="162" t="s">
        <v>245</v>
      </c>
      <c r="D75" s="135" t="s">
        <v>107</v>
      </c>
      <c r="E75" s="267">
        <v>1700</v>
      </c>
      <c r="F75" s="134">
        <v>998.60320000000002</v>
      </c>
      <c r="G75" s="267">
        <v>350.8184</v>
      </c>
      <c r="H75" s="267">
        <v>350.8184</v>
      </c>
      <c r="I75" s="159">
        <v>0</v>
      </c>
      <c r="J75" s="135">
        <v>4</v>
      </c>
      <c r="K75" s="135">
        <v>0</v>
      </c>
      <c r="L75" s="135">
        <v>0</v>
      </c>
      <c r="M75" s="135">
        <v>11</v>
      </c>
      <c r="N75" s="135">
        <v>0</v>
      </c>
      <c r="O75" s="135">
        <v>0</v>
      </c>
      <c r="P75" s="135" t="s">
        <v>151</v>
      </c>
      <c r="Q75" s="267">
        <v>2346.2847999999999</v>
      </c>
    </row>
    <row r="76" spans="2:17" x14ac:dyDescent="0.35">
      <c r="B76" s="96" t="s">
        <v>58</v>
      </c>
      <c r="C76" s="162" t="s">
        <v>245</v>
      </c>
      <c r="D76" s="135" t="s">
        <v>126</v>
      </c>
      <c r="E76" s="267">
        <v>1700</v>
      </c>
      <c r="F76" s="134">
        <v>1172.4671499999999</v>
      </c>
      <c r="G76" s="267">
        <v>373.42070000000001</v>
      </c>
      <c r="H76" s="267">
        <v>373.42070000000001</v>
      </c>
      <c r="I76" s="159">
        <v>-100</v>
      </c>
      <c r="J76" s="135">
        <v>2.5</v>
      </c>
      <c r="K76" s="135">
        <v>1</v>
      </c>
      <c r="L76" s="135">
        <v>8</v>
      </c>
      <c r="M76" s="135">
        <v>8.5</v>
      </c>
      <c r="N76" s="135">
        <v>1</v>
      </c>
      <c r="O76" s="135">
        <v>8</v>
      </c>
      <c r="P76" s="135" t="s">
        <v>151</v>
      </c>
      <c r="Q76" s="267">
        <v>2397.5464499999998</v>
      </c>
    </row>
    <row r="77" spans="2:17" x14ac:dyDescent="0.35">
      <c r="B77" s="96" t="s">
        <v>65</v>
      </c>
      <c r="C77" s="162" t="s">
        <v>246</v>
      </c>
      <c r="D77" s="135" t="s">
        <v>126</v>
      </c>
      <c r="E77" s="267">
        <v>27.5001</v>
      </c>
      <c r="F77" s="134">
        <v>0</v>
      </c>
      <c r="G77" s="267">
        <v>0</v>
      </c>
      <c r="H77" s="267">
        <v>0</v>
      </c>
      <c r="I77" s="159">
        <v>-100</v>
      </c>
      <c r="J77" s="135">
        <v>0</v>
      </c>
      <c r="K77" s="135">
        <v>0</v>
      </c>
      <c r="L77" s="135">
        <v>8</v>
      </c>
      <c r="M77" s="135">
        <v>0</v>
      </c>
      <c r="N77" s="135">
        <v>0</v>
      </c>
      <c r="O77" s="135">
        <v>8</v>
      </c>
      <c r="P77" s="135" t="s">
        <v>151</v>
      </c>
      <c r="Q77" s="267">
        <v>-73.999899999999997</v>
      </c>
    </row>
    <row r="78" spans="2:17" x14ac:dyDescent="0.35">
      <c r="B78" s="96" t="s">
        <v>59</v>
      </c>
      <c r="C78" s="162" t="s">
        <v>247</v>
      </c>
      <c r="D78" s="135" t="s">
        <v>126</v>
      </c>
      <c r="E78" s="267">
        <v>199.99920000000003</v>
      </c>
      <c r="F78" s="134">
        <v>99.999599999999987</v>
      </c>
      <c r="G78" s="267">
        <v>0</v>
      </c>
      <c r="H78" s="267">
        <v>26.9999</v>
      </c>
      <c r="I78" s="159">
        <v>-100</v>
      </c>
      <c r="J78" s="135">
        <v>0</v>
      </c>
      <c r="K78" s="135">
        <v>0</v>
      </c>
      <c r="L78" s="135">
        <v>8</v>
      </c>
      <c r="M78" s="135">
        <v>0</v>
      </c>
      <c r="N78" s="135">
        <v>0</v>
      </c>
      <c r="O78" s="135">
        <v>8</v>
      </c>
      <c r="P78" s="135" t="s">
        <v>151</v>
      </c>
      <c r="Q78" s="267">
        <v>198.49879999999999</v>
      </c>
    </row>
    <row r="79" spans="2:17" x14ac:dyDescent="0.35">
      <c r="B79" s="96" t="s">
        <v>63</v>
      </c>
      <c r="C79" s="162" t="s">
        <v>248</v>
      </c>
      <c r="D79" s="135" t="s">
        <v>106</v>
      </c>
      <c r="E79" s="267">
        <v>293.33439999999996</v>
      </c>
      <c r="F79" s="134">
        <v>444.58495000000005</v>
      </c>
      <c r="G79" s="267">
        <v>53.5319</v>
      </c>
      <c r="H79" s="267">
        <v>66.412700000000001</v>
      </c>
      <c r="I79" s="159">
        <v>0</v>
      </c>
      <c r="J79" s="135">
        <v>0</v>
      </c>
      <c r="K79" s="135">
        <v>0</v>
      </c>
      <c r="L79" s="135">
        <v>0</v>
      </c>
      <c r="M79" s="135">
        <v>0</v>
      </c>
      <c r="N79" s="135">
        <v>0</v>
      </c>
      <c r="O79" s="135">
        <v>0</v>
      </c>
      <c r="P79" s="135" t="s">
        <v>151</v>
      </c>
      <c r="Q79" s="267">
        <v>682.88744999999994</v>
      </c>
    </row>
    <row r="80" spans="2:17" x14ac:dyDescent="0.35">
      <c r="B80" s="96" t="s">
        <v>64</v>
      </c>
      <c r="C80" s="162" t="s">
        <v>249</v>
      </c>
      <c r="D80" s="135" t="s">
        <v>107</v>
      </c>
      <c r="E80" s="267">
        <v>1700</v>
      </c>
      <c r="F80" s="134">
        <v>998.60320000000002</v>
      </c>
      <c r="G80" s="267">
        <v>202.39519999999999</v>
      </c>
      <c r="H80" s="267">
        <v>242.87430000000001</v>
      </c>
      <c r="I80" s="159">
        <v>200</v>
      </c>
      <c r="J80" s="135">
        <v>1.5</v>
      </c>
      <c r="K80" s="135">
        <v>1</v>
      </c>
      <c r="L80" s="135">
        <v>4</v>
      </c>
      <c r="M80" s="135">
        <v>13.5</v>
      </c>
      <c r="N80" s="135">
        <v>1</v>
      </c>
      <c r="O80" s="135">
        <v>4</v>
      </c>
      <c r="P80" s="135" t="s">
        <v>151</v>
      </c>
      <c r="Q80" s="267">
        <v>2694.7080000000001</v>
      </c>
    </row>
    <row r="81" spans="2:17" x14ac:dyDescent="0.35">
      <c r="B81" s="96" t="s">
        <v>64</v>
      </c>
      <c r="C81" s="162" t="s">
        <v>249</v>
      </c>
      <c r="D81" s="135" t="s">
        <v>126</v>
      </c>
      <c r="E81" s="267">
        <v>1700</v>
      </c>
      <c r="F81" s="134">
        <v>1065.4739500000001</v>
      </c>
      <c r="G81" s="267">
        <v>207.41050000000001</v>
      </c>
      <c r="H81" s="267">
        <v>248.89269999999999</v>
      </c>
      <c r="I81" s="159">
        <v>0</v>
      </c>
      <c r="J81" s="135">
        <v>1</v>
      </c>
      <c r="K81" s="135">
        <v>0</v>
      </c>
      <c r="L81" s="135">
        <v>4</v>
      </c>
      <c r="M81" s="135">
        <v>12.5</v>
      </c>
      <c r="N81" s="135">
        <v>1</v>
      </c>
      <c r="O81" s="135">
        <v>8</v>
      </c>
      <c r="P81" s="135" t="s">
        <v>151</v>
      </c>
      <c r="Q81" s="267">
        <v>2556.5634500000001</v>
      </c>
    </row>
    <row r="82" spans="2:17" x14ac:dyDescent="0.35">
      <c r="B82" s="96" t="s">
        <v>60</v>
      </c>
      <c r="C82" s="162" t="s">
        <v>250</v>
      </c>
      <c r="D82" s="135" t="s">
        <v>126</v>
      </c>
      <c r="E82" s="267">
        <v>24.9999</v>
      </c>
      <c r="F82" s="134">
        <v>0</v>
      </c>
      <c r="G82" s="267">
        <v>0</v>
      </c>
      <c r="H82" s="267">
        <v>0</v>
      </c>
      <c r="I82" s="159">
        <v>0</v>
      </c>
      <c r="J82" s="135">
        <v>0</v>
      </c>
      <c r="K82" s="135">
        <v>0</v>
      </c>
      <c r="L82" s="135">
        <v>0</v>
      </c>
      <c r="M82" s="135">
        <v>0</v>
      </c>
      <c r="N82" s="135">
        <v>0</v>
      </c>
      <c r="O82" s="135">
        <v>0</v>
      </c>
      <c r="P82" s="135" t="s">
        <v>151</v>
      </c>
      <c r="Q82" s="267">
        <v>23.4999</v>
      </c>
    </row>
    <row r="83" spans="2:17" x14ac:dyDescent="0.35">
      <c r="B83" s="96" t="s">
        <v>60</v>
      </c>
      <c r="C83" s="162" t="s">
        <v>250</v>
      </c>
      <c r="D83" s="135" t="s">
        <v>107</v>
      </c>
      <c r="E83" s="267">
        <v>199.99920000000003</v>
      </c>
      <c r="F83" s="134">
        <v>99.999599999999987</v>
      </c>
      <c r="G83" s="267">
        <v>0</v>
      </c>
      <c r="H83" s="267">
        <v>22.4999</v>
      </c>
      <c r="I83" s="159">
        <v>0</v>
      </c>
      <c r="J83" s="135">
        <v>0</v>
      </c>
      <c r="K83" s="135">
        <v>0</v>
      </c>
      <c r="L83" s="135">
        <v>0</v>
      </c>
      <c r="M83" s="135">
        <v>0</v>
      </c>
      <c r="N83" s="135">
        <v>0</v>
      </c>
      <c r="O83" s="135">
        <v>0</v>
      </c>
      <c r="P83" s="135" t="s">
        <v>151</v>
      </c>
      <c r="Q83" s="267">
        <v>298.49880000000002</v>
      </c>
    </row>
    <row r="84" spans="2:17" x14ac:dyDescent="0.35">
      <c r="B84" s="96" t="s">
        <v>61</v>
      </c>
      <c r="C84" s="162" t="s">
        <v>251</v>
      </c>
      <c r="D84" s="135" t="s">
        <v>126</v>
      </c>
      <c r="E84" s="267">
        <v>199.99920000000003</v>
      </c>
      <c r="F84" s="134">
        <v>99.999599999999987</v>
      </c>
      <c r="G84" s="267">
        <v>0</v>
      </c>
      <c r="H84" s="267">
        <v>22.4999</v>
      </c>
      <c r="I84" s="159">
        <v>0</v>
      </c>
      <c r="J84" s="135">
        <v>0</v>
      </c>
      <c r="K84" s="135">
        <v>0</v>
      </c>
      <c r="L84" s="135">
        <v>0</v>
      </c>
      <c r="M84" s="135">
        <v>0</v>
      </c>
      <c r="N84" s="135">
        <v>0</v>
      </c>
      <c r="O84" s="135">
        <v>0</v>
      </c>
      <c r="P84" s="135" t="s">
        <v>151</v>
      </c>
      <c r="Q84" s="267">
        <v>298.49880000000002</v>
      </c>
    </row>
    <row r="85" spans="2:17" x14ac:dyDescent="0.35">
      <c r="B85" s="96" t="s">
        <v>71</v>
      </c>
      <c r="C85" s="162" t="s">
        <v>252</v>
      </c>
      <c r="D85" s="135" t="s">
        <v>126</v>
      </c>
      <c r="E85" s="267">
        <v>220.00079999999994</v>
      </c>
      <c r="F85" s="134">
        <v>330.00120000000004</v>
      </c>
      <c r="G85" s="267">
        <v>7.5003000000000002</v>
      </c>
      <c r="H85" s="267">
        <v>41.250100000000003</v>
      </c>
      <c r="I85" s="159">
        <v>0</v>
      </c>
      <c r="J85" s="135">
        <v>0</v>
      </c>
      <c r="K85" s="135">
        <v>0</v>
      </c>
      <c r="L85" s="135">
        <v>0</v>
      </c>
      <c r="M85" s="135">
        <v>0</v>
      </c>
      <c r="N85" s="135">
        <v>0</v>
      </c>
      <c r="O85" s="135">
        <v>0</v>
      </c>
      <c r="P85" s="135" t="s">
        <v>151</v>
      </c>
      <c r="Q85" s="267">
        <v>541.00170000000003</v>
      </c>
    </row>
    <row r="86" spans="2:17" x14ac:dyDescent="0.35">
      <c r="B86" s="96" t="s">
        <v>73</v>
      </c>
      <c r="C86" s="162" t="s">
        <v>253</v>
      </c>
      <c r="D86" s="135" t="s">
        <v>107</v>
      </c>
      <c r="E86" s="267">
        <v>1100</v>
      </c>
      <c r="F86" s="134">
        <v>568.26619999999991</v>
      </c>
      <c r="G86" s="267">
        <v>83.413300000000007</v>
      </c>
      <c r="H86" s="267">
        <v>125.12</v>
      </c>
      <c r="I86" s="159">
        <v>0</v>
      </c>
      <c r="J86" s="135">
        <v>4</v>
      </c>
      <c r="K86" s="135">
        <v>0</v>
      </c>
      <c r="L86" s="135">
        <v>0</v>
      </c>
      <c r="M86" s="135">
        <v>11</v>
      </c>
      <c r="N86" s="135">
        <v>0</v>
      </c>
      <c r="O86" s="135">
        <v>0</v>
      </c>
      <c r="P86" s="135" t="s">
        <v>151</v>
      </c>
      <c r="Q86" s="267">
        <v>1583.3529000000001</v>
      </c>
    </row>
    <row r="87" spans="2:17" x14ac:dyDescent="0.35">
      <c r="B87" s="96" t="s">
        <v>73</v>
      </c>
      <c r="C87" s="162" t="s">
        <v>253</v>
      </c>
      <c r="D87" s="135" t="s">
        <v>126</v>
      </c>
      <c r="E87" s="267">
        <v>1100</v>
      </c>
      <c r="F87" s="134">
        <v>572.59309999999994</v>
      </c>
      <c r="G87" s="267">
        <v>83.6297</v>
      </c>
      <c r="H87" s="267">
        <v>125.44450000000001</v>
      </c>
      <c r="I87" s="159">
        <v>0</v>
      </c>
      <c r="J87" s="135">
        <v>1</v>
      </c>
      <c r="K87" s="135">
        <v>0</v>
      </c>
      <c r="L87" s="135">
        <v>8</v>
      </c>
      <c r="M87" s="135">
        <v>10</v>
      </c>
      <c r="N87" s="135">
        <v>0</v>
      </c>
      <c r="O87" s="135">
        <v>8</v>
      </c>
      <c r="P87" s="135" t="s">
        <v>151</v>
      </c>
      <c r="Q87" s="267">
        <v>1587.4634000000001</v>
      </c>
    </row>
    <row r="88" spans="2:17" x14ac:dyDescent="0.35">
      <c r="B88" s="96" t="s">
        <v>42</v>
      </c>
      <c r="C88" s="162" t="s">
        <v>254</v>
      </c>
      <c r="D88" s="135" t="s">
        <v>107</v>
      </c>
      <c r="E88" s="267">
        <v>1300</v>
      </c>
      <c r="F88" s="134">
        <v>676.70635000000004</v>
      </c>
      <c r="G88" s="267">
        <v>0</v>
      </c>
      <c r="H88" s="267">
        <v>0</v>
      </c>
      <c r="I88" s="159">
        <v>0</v>
      </c>
      <c r="J88" s="135">
        <v>1</v>
      </c>
      <c r="K88" s="135">
        <v>0</v>
      </c>
      <c r="L88" s="135">
        <v>8</v>
      </c>
      <c r="M88" s="135">
        <v>17</v>
      </c>
      <c r="N88" s="135">
        <v>0</v>
      </c>
      <c r="O88" s="135">
        <v>8</v>
      </c>
      <c r="P88" s="135" t="s">
        <v>151</v>
      </c>
      <c r="Q88" s="267">
        <v>1975.2063499999999</v>
      </c>
    </row>
    <row r="89" spans="2:17" x14ac:dyDescent="0.35">
      <c r="B89" s="96" t="s">
        <v>42</v>
      </c>
      <c r="C89" s="162" t="s">
        <v>254</v>
      </c>
      <c r="D89" s="135" t="s">
        <v>126</v>
      </c>
      <c r="E89" s="267">
        <v>1300</v>
      </c>
      <c r="F89" s="134">
        <v>686.93365000000006</v>
      </c>
      <c r="G89" s="267">
        <v>0</v>
      </c>
      <c r="H89" s="267">
        <v>0</v>
      </c>
      <c r="I89" s="159">
        <v>0</v>
      </c>
      <c r="J89" s="135">
        <v>2</v>
      </c>
      <c r="K89" s="135">
        <v>0</v>
      </c>
      <c r="L89" s="135">
        <v>8</v>
      </c>
      <c r="M89" s="135">
        <v>15</v>
      </c>
      <c r="N89" s="135">
        <v>0</v>
      </c>
      <c r="O89" s="135">
        <v>16</v>
      </c>
      <c r="P89" s="135" t="s">
        <v>151</v>
      </c>
      <c r="Q89" s="267">
        <v>1985.4336499999999</v>
      </c>
    </row>
    <row r="90" spans="2:17" x14ac:dyDescent="0.35">
      <c r="B90" s="96" t="s">
        <v>43</v>
      </c>
      <c r="C90" s="162" t="s">
        <v>255</v>
      </c>
      <c r="D90" s="135" t="s">
        <v>107</v>
      </c>
      <c r="E90" s="267">
        <v>1100</v>
      </c>
      <c r="F90" s="134">
        <v>576.91999999999996</v>
      </c>
      <c r="G90" s="267">
        <v>0</v>
      </c>
      <c r="H90" s="267">
        <v>0</v>
      </c>
      <c r="I90" s="159">
        <v>0</v>
      </c>
      <c r="J90" s="135">
        <v>2</v>
      </c>
      <c r="K90" s="135">
        <v>1</v>
      </c>
      <c r="L90" s="135">
        <v>2.5</v>
      </c>
      <c r="M90" s="135">
        <v>16</v>
      </c>
      <c r="N90" s="135">
        <v>1</v>
      </c>
      <c r="O90" s="135">
        <v>2.5</v>
      </c>
      <c r="P90" s="135" t="s">
        <v>151</v>
      </c>
      <c r="Q90" s="267">
        <v>1675.42</v>
      </c>
    </row>
    <row r="91" spans="2:17" x14ac:dyDescent="0.35">
      <c r="B91" s="96" t="s">
        <v>43</v>
      </c>
      <c r="C91" s="162" t="s">
        <v>255</v>
      </c>
      <c r="D91" s="135" t="s">
        <v>126</v>
      </c>
      <c r="E91" s="267">
        <v>1100</v>
      </c>
      <c r="F91" s="134">
        <v>533.65099999999995</v>
      </c>
      <c r="G91" s="267">
        <v>0</v>
      </c>
      <c r="H91" s="267">
        <v>0</v>
      </c>
      <c r="I91" s="159">
        <v>0</v>
      </c>
      <c r="J91" s="135">
        <v>1.5</v>
      </c>
      <c r="K91" s="135">
        <v>1</v>
      </c>
      <c r="L91" s="135">
        <v>0</v>
      </c>
      <c r="M91" s="135">
        <v>14.5</v>
      </c>
      <c r="N91" s="135">
        <v>2</v>
      </c>
      <c r="O91" s="135">
        <v>2.5</v>
      </c>
      <c r="P91" s="135" t="s">
        <v>151</v>
      </c>
      <c r="Q91" s="267">
        <v>1632.1510000000001</v>
      </c>
    </row>
    <row r="92" spans="2:17" x14ac:dyDescent="0.35">
      <c r="B92" s="96" t="s">
        <v>65</v>
      </c>
      <c r="C92" s="162" t="s">
        <v>256</v>
      </c>
      <c r="D92" s="135" t="s">
        <v>106</v>
      </c>
      <c r="E92" s="267">
        <v>220.00079999999994</v>
      </c>
      <c r="F92" s="134">
        <v>330.00120000000004</v>
      </c>
      <c r="G92" s="267">
        <v>7.5003000000000002</v>
      </c>
      <c r="H92" s="267">
        <v>49.5002</v>
      </c>
      <c r="I92" s="159">
        <v>0</v>
      </c>
      <c r="J92" s="135">
        <v>0</v>
      </c>
      <c r="K92" s="135">
        <v>0</v>
      </c>
      <c r="L92" s="135">
        <v>3</v>
      </c>
      <c r="M92" s="135">
        <v>0</v>
      </c>
      <c r="N92" s="135">
        <v>0</v>
      </c>
      <c r="O92" s="135">
        <v>3</v>
      </c>
      <c r="P92" s="135" t="s">
        <v>159</v>
      </c>
      <c r="Q92" s="267">
        <v>541.00170000000003</v>
      </c>
    </row>
  </sheetData>
  <dataValidations count="3">
    <dataValidation type="decimal" operator="greaterThanOrEqual" allowBlank="1" showInputMessage="1" showErrorMessage="1" sqref="K1:L1 K3:L1048576" xr:uid="{F79E3C2C-BEA5-442E-B20F-D681022BBCA4}">
      <formula1>0</formula1>
    </dataValidation>
    <dataValidation type="decimal" operator="greaterThanOrEqual" allowBlank="1" showInputMessage="1" showErrorMessage="1" errorTitle="Maximum Leave Left Exceeded" error="Personnel is not entitled to any more leave for current year, kindly check Timetable Data or relevant personnel for more details." sqref="M1 M3:M1048576" xr:uid="{BE9DBA61-ECB9-4673-A8CD-548F02D97910}">
      <formula1>0</formula1>
    </dataValidation>
    <dataValidation type="decimal" operator="greaterThanOrEqual" allowBlank="1" showInputMessage="1" showErrorMessage="1" errorTitle="Leave Error" error="Personnel may not be entitled to take leave." sqref="J1:J1048576" xr:uid="{A0C57C7D-B843-4BFD-98A0-DEEA3375EAED}">
      <formula1>0</formula1>
    </dataValidation>
  </dataValidations>
  <pageMargins left="0.7" right="0.7" top="0.75" bottom="0.75" header="0.3" footer="0.3"/>
  <ignoredErrors>
    <ignoredError sqref="J2" listDataValidation="1"/>
  </ignoredErrors>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0ED95-FDF3-40C9-88D9-AAA83C19547E}">
  <sheetPr codeName="Sheet10">
    <tabColor theme="8"/>
  </sheetPr>
  <dimension ref="B1:M42"/>
  <sheetViews>
    <sheetView zoomScaleNormal="100" workbookViewId="0">
      <selection activeCell="C4" sqref="C4:D4"/>
    </sheetView>
  </sheetViews>
  <sheetFormatPr defaultRowHeight="14.5" x14ac:dyDescent="0.35"/>
  <cols>
    <col min="1" max="1" width="2.54296875" customWidth="1"/>
    <col min="2" max="2" width="8.7265625" style="2"/>
    <col min="3" max="4" width="12.08984375" style="4" bestFit="1" customWidth="1"/>
    <col min="5" max="5" width="20.6328125" style="2" customWidth="1"/>
    <col min="6" max="6" width="10.6328125" style="1" bestFit="1" customWidth="1"/>
    <col min="7" max="7" width="12.08984375" style="125" bestFit="1" customWidth="1"/>
    <col min="8" max="9" width="8.7265625" style="1"/>
    <col min="13" max="13" width="9.08984375" style="3" bestFit="1" customWidth="1"/>
    <col min="14" max="14" width="12.54296875" customWidth="1"/>
  </cols>
  <sheetData>
    <row r="1" spans="2:13" ht="15" thickBot="1" x14ac:dyDescent="0.4"/>
    <row r="2" spans="2:13" ht="17" customHeight="1" thickBot="1" x14ac:dyDescent="0.4">
      <c r="B2" s="116" t="s">
        <v>13</v>
      </c>
      <c r="C2" s="117" t="s">
        <v>107</v>
      </c>
      <c r="D2" s="149" t="s">
        <v>35</v>
      </c>
      <c r="E2" s="117" t="s">
        <v>42</v>
      </c>
      <c r="F2" s="160" t="s">
        <v>14</v>
      </c>
      <c r="G2" s="133" t="s">
        <v>48</v>
      </c>
      <c r="H2" s="349" t="s">
        <v>12</v>
      </c>
      <c r="I2" s="350"/>
      <c r="J2" s="350"/>
      <c r="K2" s="350"/>
      <c r="L2" s="351"/>
      <c r="M2" s="352" t="s">
        <v>9</v>
      </c>
    </row>
    <row r="3" spans="2:13" ht="15" thickBot="1" x14ac:dyDescent="0.4">
      <c r="B3" s="150" t="s">
        <v>6</v>
      </c>
      <c r="C3" s="147" t="s">
        <v>0</v>
      </c>
      <c r="D3" s="147" t="s">
        <v>1</v>
      </c>
      <c r="E3" s="150" t="s">
        <v>2</v>
      </c>
      <c r="F3" s="150" t="s">
        <v>3</v>
      </c>
      <c r="G3" s="148" t="s">
        <v>104</v>
      </c>
      <c r="H3" s="106"/>
      <c r="I3" s="107" t="s">
        <v>7</v>
      </c>
      <c r="J3" s="108" t="s">
        <v>8</v>
      </c>
      <c r="K3" s="108" t="s">
        <v>16</v>
      </c>
      <c r="L3" s="109" t="s">
        <v>17</v>
      </c>
      <c r="M3" s="311"/>
    </row>
    <row r="4" spans="2:13" x14ac:dyDescent="0.35">
      <c r="B4" s="97">
        <v>1</v>
      </c>
      <c r="C4" s="5">
        <v>0.375</v>
      </c>
      <c r="D4" s="6">
        <v>0.5</v>
      </c>
      <c r="E4" s="99" t="s">
        <v>20</v>
      </c>
      <c r="F4" s="102"/>
      <c r="G4" s="98">
        <f t="shared" ref="G4:G34" si="0">IF(OR(AND(C4="OL",D4="OL"),AND(C4="LL",D4="LL"),AND(C4="MC",D4="MC"),AND(C4="O",D4="O"),AND(C4="CSE",D4="CSE")), 0, HOUR($D4)+MINUTE($D4)/60-HOUR($C4)-MINUTE($C4)/60)</f>
        <v>3</v>
      </c>
      <c r="H4" s="111"/>
      <c r="I4" s="110"/>
      <c r="J4" s="110"/>
      <c r="K4" s="110"/>
      <c r="L4" s="112"/>
      <c r="M4" s="105">
        <f t="shared" ref="M4:M14" si="1">IF(H:H,H4*1,IF(I:I,I4*1.5,IF(J:J,J4*2,IF(K:K,K4*3,IF(L:L,L4*3,0))))+IF(OR(NOT(E4="SU"),NOT(E4="SA"),NOT(C4="O"),NOT(C4="MC"),NOT(C4="CSE"),NOT(C4="LL"),NOT(C4="OL"))*8,0))</f>
        <v>0</v>
      </c>
    </row>
    <row r="5" spans="2:13" x14ac:dyDescent="0.35">
      <c r="B5" s="97">
        <v>2</v>
      </c>
      <c r="C5" s="5"/>
      <c r="D5" s="6"/>
      <c r="E5" s="100" t="s">
        <v>21</v>
      </c>
      <c r="F5" s="103"/>
      <c r="G5" s="98">
        <f t="shared" si="0"/>
        <v>0</v>
      </c>
      <c r="H5" s="111"/>
      <c r="I5" s="110"/>
      <c r="J5" s="110"/>
      <c r="K5" s="110"/>
      <c r="L5" s="112"/>
      <c r="M5" s="105">
        <f t="shared" si="1"/>
        <v>0</v>
      </c>
    </row>
    <row r="6" spans="2:13" x14ac:dyDescent="0.35">
      <c r="B6" s="97">
        <v>3</v>
      </c>
      <c r="C6" s="5"/>
      <c r="D6" s="6"/>
      <c r="E6" s="100" t="s">
        <v>22</v>
      </c>
      <c r="F6" s="103"/>
      <c r="G6" s="98">
        <f t="shared" si="0"/>
        <v>0</v>
      </c>
      <c r="H6" s="111"/>
      <c r="I6" s="110"/>
      <c r="J6" s="110"/>
      <c r="K6" s="110"/>
      <c r="L6" s="112"/>
      <c r="M6" s="105">
        <f t="shared" si="1"/>
        <v>0</v>
      </c>
    </row>
    <row r="7" spans="2:13" x14ac:dyDescent="0.35">
      <c r="B7" s="97">
        <v>4</v>
      </c>
      <c r="C7" s="5"/>
      <c r="D7" s="6"/>
      <c r="E7" s="100" t="s">
        <v>4</v>
      </c>
      <c r="F7" s="103"/>
      <c r="G7" s="98">
        <f t="shared" si="0"/>
        <v>0</v>
      </c>
      <c r="H7" s="111"/>
      <c r="I7" s="110"/>
      <c r="J7" s="110"/>
      <c r="K7" s="110"/>
      <c r="L7" s="112"/>
      <c r="M7" s="105">
        <f t="shared" si="1"/>
        <v>0</v>
      </c>
    </row>
    <row r="8" spans="2:13" x14ac:dyDescent="0.35">
      <c r="B8" s="97">
        <v>5</v>
      </c>
      <c r="C8" s="5"/>
      <c r="D8" s="6"/>
      <c r="E8" s="100" t="s">
        <v>5</v>
      </c>
      <c r="F8" s="103"/>
      <c r="G8" s="98">
        <f t="shared" si="0"/>
        <v>0</v>
      </c>
      <c r="H8" s="111"/>
      <c r="I8" s="110"/>
      <c r="J8" s="110"/>
      <c r="K8" s="110"/>
      <c r="L8" s="112"/>
      <c r="M8" s="105">
        <f t="shared" si="1"/>
        <v>0</v>
      </c>
    </row>
    <row r="9" spans="2:13" x14ac:dyDescent="0.35">
      <c r="B9" s="97">
        <v>6</v>
      </c>
      <c r="C9" s="5"/>
      <c r="D9" s="6"/>
      <c r="E9" s="100" t="s">
        <v>24</v>
      </c>
      <c r="F9" s="103" t="s">
        <v>11</v>
      </c>
      <c r="G9" s="98">
        <f t="shared" si="0"/>
        <v>0</v>
      </c>
      <c r="H9" s="111"/>
      <c r="I9" s="110"/>
      <c r="J9" s="110"/>
      <c r="K9" s="110"/>
      <c r="L9" s="112"/>
      <c r="M9" s="105">
        <f t="shared" si="1"/>
        <v>0</v>
      </c>
    </row>
    <row r="10" spans="2:13" x14ac:dyDescent="0.35">
      <c r="B10" s="97">
        <v>7</v>
      </c>
      <c r="C10" s="5"/>
      <c r="D10" s="6"/>
      <c r="E10" s="100" t="s">
        <v>21</v>
      </c>
      <c r="F10" s="103" t="s">
        <v>11</v>
      </c>
      <c r="G10" s="98">
        <f t="shared" si="0"/>
        <v>0</v>
      </c>
      <c r="H10" s="111"/>
      <c r="I10" s="110"/>
      <c r="J10" s="110"/>
      <c r="K10" s="110"/>
      <c r="L10" s="112"/>
      <c r="M10" s="105">
        <f t="shared" si="1"/>
        <v>0</v>
      </c>
    </row>
    <row r="11" spans="2:13" x14ac:dyDescent="0.35">
      <c r="B11" s="97">
        <v>8</v>
      </c>
      <c r="C11" s="5"/>
      <c r="D11" s="6"/>
      <c r="E11" s="100" t="s">
        <v>20</v>
      </c>
      <c r="F11" s="103"/>
      <c r="G11" s="98">
        <f t="shared" si="0"/>
        <v>0</v>
      </c>
      <c r="H11" s="111"/>
      <c r="I11" s="110"/>
      <c r="J11" s="110"/>
      <c r="K11" s="110"/>
      <c r="L11" s="112"/>
      <c r="M11" s="105">
        <f t="shared" si="1"/>
        <v>0</v>
      </c>
    </row>
    <row r="12" spans="2:13" x14ac:dyDescent="0.35">
      <c r="B12" s="97">
        <v>9</v>
      </c>
      <c r="C12" s="5"/>
      <c r="D12" s="6"/>
      <c r="E12" s="100" t="s">
        <v>21</v>
      </c>
      <c r="F12" s="103"/>
      <c r="G12" s="98">
        <f t="shared" si="0"/>
        <v>0</v>
      </c>
      <c r="H12" s="111"/>
      <c r="I12" s="110"/>
      <c r="J12" s="110"/>
      <c r="K12" s="110"/>
      <c r="L12" s="112"/>
      <c r="M12" s="105">
        <f t="shared" si="1"/>
        <v>0</v>
      </c>
    </row>
    <row r="13" spans="2:13" x14ac:dyDescent="0.35">
      <c r="B13" s="97">
        <v>10</v>
      </c>
      <c r="C13" s="5"/>
      <c r="D13" s="6"/>
      <c r="E13" s="100" t="s">
        <v>22</v>
      </c>
      <c r="F13" s="103"/>
      <c r="G13" s="98">
        <f t="shared" si="0"/>
        <v>0</v>
      </c>
      <c r="H13" s="111"/>
      <c r="I13" s="110"/>
      <c r="J13" s="110"/>
      <c r="K13" s="110"/>
      <c r="L13" s="112"/>
      <c r="M13" s="105">
        <f t="shared" si="1"/>
        <v>0</v>
      </c>
    </row>
    <row r="14" spans="2:13" x14ac:dyDescent="0.35">
      <c r="B14" s="97">
        <v>11</v>
      </c>
      <c r="C14" s="5"/>
      <c r="D14" s="6"/>
      <c r="E14" s="100" t="s">
        <v>4</v>
      </c>
      <c r="F14" s="103" t="s">
        <v>11</v>
      </c>
      <c r="G14" s="98">
        <f t="shared" si="0"/>
        <v>0</v>
      </c>
      <c r="H14" s="111"/>
      <c r="I14" s="110"/>
      <c r="J14" s="110"/>
      <c r="K14" s="110"/>
      <c r="L14" s="112"/>
      <c r="M14" s="105">
        <f t="shared" si="1"/>
        <v>0</v>
      </c>
    </row>
    <row r="15" spans="2:13" x14ac:dyDescent="0.35">
      <c r="B15" s="97">
        <v>12</v>
      </c>
      <c r="C15" s="5"/>
      <c r="D15" s="6"/>
      <c r="E15" s="100" t="s">
        <v>5</v>
      </c>
      <c r="F15" s="103" t="s">
        <v>11</v>
      </c>
      <c r="G15" s="98">
        <f t="shared" si="0"/>
        <v>0</v>
      </c>
      <c r="H15" s="111"/>
      <c r="I15" s="110"/>
      <c r="J15" s="110"/>
      <c r="K15" s="110"/>
      <c r="L15" s="112"/>
      <c r="M15" s="105">
        <f t="shared" ref="M15:M34" si="2">IF(H:H,H15*1,IF(I:I,I15*1.5,IF(J:J,J15*2,IF(K:K,K15*3,IF(L:L,L15*3,0))))+IF(OR(NOT(E15="SU"),NOT(E15="SA")),8,0))</f>
        <v>8</v>
      </c>
    </row>
    <row r="16" spans="2:13" x14ac:dyDescent="0.35">
      <c r="B16" s="97">
        <v>13</v>
      </c>
      <c r="C16" s="5"/>
      <c r="D16" s="6"/>
      <c r="E16" s="100" t="s">
        <v>24</v>
      </c>
      <c r="F16" s="103"/>
      <c r="G16" s="98">
        <f t="shared" si="0"/>
        <v>0</v>
      </c>
      <c r="H16" s="111"/>
      <c r="I16" s="110"/>
      <c r="J16" s="110"/>
      <c r="K16" s="110"/>
      <c r="L16" s="112"/>
      <c r="M16" s="105">
        <f t="shared" si="2"/>
        <v>8</v>
      </c>
    </row>
    <row r="17" spans="2:13" x14ac:dyDescent="0.35">
      <c r="B17" s="97">
        <v>14</v>
      </c>
      <c r="C17" s="5"/>
      <c r="D17" s="6"/>
      <c r="E17" s="100" t="s">
        <v>21</v>
      </c>
      <c r="F17" s="103"/>
      <c r="G17" s="98">
        <f t="shared" si="0"/>
        <v>0</v>
      </c>
      <c r="H17" s="111"/>
      <c r="I17" s="110"/>
      <c r="J17" s="110"/>
      <c r="K17" s="110"/>
      <c r="L17" s="112"/>
      <c r="M17" s="105">
        <f t="shared" si="2"/>
        <v>8</v>
      </c>
    </row>
    <row r="18" spans="2:13" x14ac:dyDescent="0.35">
      <c r="B18" s="97">
        <v>15</v>
      </c>
      <c r="C18" s="5"/>
      <c r="D18" s="6"/>
      <c r="E18" s="100" t="s">
        <v>20</v>
      </c>
      <c r="F18" s="103"/>
      <c r="G18" s="98">
        <f t="shared" si="0"/>
        <v>0</v>
      </c>
      <c r="H18" s="111"/>
      <c r="I18" s="110"/>
      <c r="J18" s="110"/>
      <c r="K18" s="110"/>
      <c r="L18" s="112"/>
      <c r="M18" s="105">
        <f t="shared" si="2"/>
        <v>8</v>
      </c>
    </row>
    <row r="19" spans="2:13" x14ac:dyDescent="0.35">
      <c r="B19" s="97">
        <v>16</v>
      </c>
      <c r="C19" s="5"/>
      <c r="D19" s="6"/>
      <c r="E19" s="100" t="s">
        <v>21</v>
      </c>
      <c r="F19" s="103"/>
      <c r="G19" s="98">
        <f t="shared" si="0"/>
        <v>0</v>
      </c>
      <c r="H19" s="111"/>
      <c r="I19" s="110"/>
      <c r="J19" s="110"/>
      <c r="K19" s="110"/>
      <c r="L19" s="112"/>
      <c r="M19" s="105">
        <f t="shared" si="2"/>
        <v>8</v>
      </c>
    </row>
    <row r="20" spans="2:13" x14ac:dyDescent="0.35">
      <c r="B20" s="97">
        <v>17</v>
      </c>
      <c r="C20" s="5"/>
      <c r="D20" s="6"/>
      <c r="E20" s="100" t="s">
        <v>22</v>
      </c>
      <c r="F20" s="103"/>
      <c r="G20" s="98">
        <f t="shared" si="0"/>
        <v>0</v>
      </c>
      <c r="H20" s="111"/>
      <c r="I20" s="110"/>
      <c r="J20" s="110"/>
      <c r="K20" s="110"/>
      <c r="L20" s="112"/>
      <c r="M20" s="105">
        <f t="shared" si="2"/>
        <v>8</v>
      </c>
    </row>
    <row r="21" spans="2:13" x14ac:dyDescent="0.35">
      <c r="B21" s="97">
        <v>18</v>
      </c>
      <c r="C21" s="5"/>
      <c r="D21" s="6"/>
      <c r="E21" s="100" t="s">
        <v>23</v>
      </c>
      <c r="F21" s="103"/>
      <c r="G21" s="98">
        <f t="shared" si="0"/>
        <v>0</v>
      </c>
      <c r="H21" s="111"/>
      <c r="I21" s="110"/>
      <c r="J21" s="110"/>
      <c r="K21" s="110"/>
      <c r="L21" s="112"/>
      <c r="M21" s="105">
        <f t="shared" si="2"/>
        <v>8</v>
      </c>
    </row>
    <row r="22" spans="2:13" x14ac:dyDescent="0.35">
      <c r="B22" s="97">
        <v>19</v>
      </c>
      <c r="C22" s="5"/>
      <c r="D22" s="6"/>
      <c r="E22" s="100" t="s">
        <v>23</v>
      </c>
      <c r="F22" s="103"/>
      <c r="G22" s="98">
        <f t="shared" si="0"/>
        <v>0</v>
      </c>
      <c r="H22" s="111"/>
      <c r="I22" s="110"/>
      <c r="J22" s="110"/>
      <c r="K22" s="110"/>
      <c r="L22" s="112"/>
      <c r="M22" s="105">
        <f t="shared" si="2"/>
        <v>8</v>
      </c>
    </row>
    <row r="23" spans="2:13" x14ac:dyDescent="0.35">
      <c r="B23" s="97">
        <v>20</v>
      </c>
      <c r="C23" s="5"/>
      <c r="D23" s="6"/>
      <c r="E23" s="100" t="s">
        <v>24</v>
      </c>
      <c r="F23" s="103"/>
      <c r="G23" s="98">
        <f t="shared" si="0"/>
        <v>0</v>
      </c>
      <c r="H23" s="111"/>
      <c r="I23" s="110"/>
      <c r="J23" s="110"/>
      <c r="K23" s="110"/>
      <c r="L23" s="112"/>
      <c r="M23" s="105">
        <f t="shared" si="2"/>
        <v>8</v>
      </c>
    </row>
    <row r="24" spans="2:13" x14ac:dyDescent="0.35">
      <c r="B24" s="97">
        <v>21</v>
      </c>
      <c r="C24" s="5"/>
      <c r="D24" s="6"/>
      <c r="E24" s="100" t="s">
        <v>21</v>
      </c>
      <c r="F24" s="103"/>
      <c r="G24" s="98">
        <f t="shared" si="0"/>
        <v>0</v>
      </c>
      <c r="H24" s="111"/>
      <c r="I24" s="110"/>
      <c r="J24" s="110"/>
      <c r="K24" s="110"/>
      <c r="L24" s="112"/>
      <c r="M24" s="105">
        <f t="shared" si="2"/>
        <v>8</v>
      </c>
    </row>
    <row r="25" spans="2:13" x14ac:dyDescent="0.35">
      <c r="B25" s="97">
        <v>22</v>
      </c>
      <c r="C25" s="5"/>
      <c r="D25" s="6"/>
      <c r="E25" s="100" t="s">
        <v>20</v>
      </c>
      <c r="F25" s="103"/>
      <c r="G25" s="98">
        <f t="shared" si="0"/>
        <v>0</v>
      </c>
      <c r="H25" s="111"/>
      <c r="I25" s="110"/>
      <c r="J25" s="110"/>
      <c r="K25" s="110"/>
      <c r="L25" s="112"/>
      <c r="M25" s="105">
        <f t="shared" si="2"/>
        <v>8</v>
      </c>
    </row>
    <row r="26" spans="2:13" x14ac:dyDescent="0.35">
      <c r="B26" s="97">
        <v>23</v>
      </c>
      <c r="C26" s="5"/>
      <c r="D26" s="6"/>
      <c r="E26" s="100" t="s">
        <v>21</v>
      </c>
      <c r="F26" s="103"/>
      <c r="G26" s="98">
        <f t="shared" si="0"/>
        <v>0</v>
      </c>
      <c r="H26" s="111"/>
      <c r="I26" s="110"/>
      <c r="J26" s="110"/>
      <c r="K26" s="110"/>
      <c r="L26" s="112"/>
      <c r="M26" s="105">
        <f t="shared" si="2"/>
        <v>8</v>
      </c>
    </row>
    <row r="27" spans="2:13" x14ac:dyDescent="0.35">
      <c r="B27" s="97">
        <v>24</v>
      </c>
      <c r="C27" s="5"/>
      <c r="D27" s="6"/>
      <c r="E27" s="100" t="s">
        <v>22</v>
      </c>
      <c r="F27" s="103"/>
      <c r="G27" s="98">
        <f t="shared" si="0"/>
        <v>0</v>
      </c>
      <c r="H27" s="111"/>
      <c r="I27" s="110"/>
      <c r="J27" s="110"/>
      <c r="K27" s="110"/>
      <c r="L27" s="112"/>
      <c r="M27" s="105">
        <f t="shared" si="2"/>
        <v>8</v>
      </c>
    </row>
    <row r="28" spans="2:13" x14ac:dyDescent="0.35">
      <c r="B28" s="97">
        <v>25</v>
      </c>
      <c r="C28" s="5"/>
      <c r="D28" s="6"/>
      <c r="E28" s="100" t="s">
        <v>4</v>
      </c>
      <c r="F28" s="103"/>
      <c r="G28" s="98">
        <f t="shared" si="0"/>
        <v>0</v>
      </c>
      <c r="H28" s="111"/>
      <c r="I28" s="110"/>
      <c r="J28" s="110"/>
      <c r="K28" s="110"/>
      <c r="L28" s="112"/>
      <c r="M28" s="105">
        <f t="shared" si="2"/>
        <v>8</v>
      </c>
    </row>
    <row r="29" spans="2:13" x14ac:dyDescent="0.35">
      <c r="B29" s="97">
        <v>26</v>
      </c>
      <c r="C29" s="5"/>
      <c r="D29" s="6"/>
      <c r="E29" s="100" t="s">
        <v>5</v>
      </c>
      <c r="F29" s="103"/>
      <c r="G29" s="98">
        <f t="shared" si="0"/>
        <v>0</v>
      </c>
      <c r="H29" s="111"/>
      <c r="I29" s="110"/>
      <c r="J29" s="110"/>
      <c r="K29" s="110"/>
      <c r="L29" s="112"/>
      <c r="M29" s="105">
        <f t="shared" si="2"/>
        <v>8</v>
      </c>
    </row>
    <row r="30" spans="2:13" x14ac:dyDescent="0.35">
      <c r="B30" s="97">
        <v>27</v>
      </c>
      <c r="C30" s="5"/>
      <c r="D30" s="6"/>
      <c r="E30" s="100" t="s">
        <v>25</v>
      </c>
      <c r="F30" s="103"/>
      <c r="G30" s="98">
        <f t="shared" si="0"/>
        <v>0</v>
      </c>
      <c r="H30" s="111"/>
      <c r="I30" s="110"/>
      <c r="J30" s="110"/>
      <c r="K30" s="110"/>
      <c r="L30" s="112"/>
      <c r="M30" s="105">
        <f t="shared" si="2"/>
        <v>8</v>
      </c>
    </row>
    <row r="31" spans="2:13" x14ac:dyDescent="0.35">
      <c r="B31" s="97">
        <v>28</v>
      </c>
      <c r="C31" s="5"/>
      <c r="D31" s="6"/>
      <c r="E31" s="100" t="s">
        <v>18</v>
      </c>
      <c r="F31" s="103"/>
      <c r="G31" s="98">
        <f t="shared" si="0"/>
        <v>0</v>
      </c>
      <c r="H31" s="111"/>
      <c r="I31" s="110"/>
      <c r="J31" s="110"/>
      <c r="K31" s="110"/>
      <c r="L31" s="112"/>
      <c r="M31" s="105">
        <f t="shared" si="2"/>
        <v>8</v>
      </c>
    </row>
    <row r="32" spans="2:13" x14ac:dyDescent="0.35">
      <c r="B32" s="97">
        <v>29</v>
      </c>
      <c r="C32" s="5"/>
      <c r="D32" s="6"/>
      <c r="E32" s="100" t="s">
        <v>20</v>
      </c>
      <c r="F32" s="103"/>
      <c r="G32" s="98">
        <f t="shared" si="0"/>
        <v>0</v>
      </c>
      <c r="H32" s="111"/>
      <c r="I32" s="110"/>
      <c r="J32" s="110"/>
      <c r="K32" s="110"/>
      <c r="L32" s="112"/>
      <c r="M32" s="105">
        <f t="shared" si="2"/>
        <v>8</v>
      </c>
    </row>
    <row r="33" spans="2:13" x14ac:dyDescent="0.35">
      <c r="B33" s="97">
        <v>30</v>
      </c>
      <c r="C33" s="5"/>
      <c r="D33" s="6"/>
      <c r="E33" s="100" t="s">
        <v>18</v>
      </c>
      <c r="F33" s="103"/>
      <c r="G33" s="98">
        <f t="shared" si="0"/>
        <v>0</v>
      </c>
      <c r="H33" s="111"/>
      <c r="I33" s="110"/>
      <c r="J33" s="110"/>
      <c r="K33" s="110"/>
      <c r="L33" s="112"/>
      <c r="M33" s="105">
        <f t="shared" si="2"/>
        <v>8</v>
      </c>
    </row>
    <row r="34" spans="2:13" ht="15" thickBot="1" x14ac:dyDescent="0.4">
      <c r="B34" s="97">
        <v>31</v>
      </c>
      <c r="C34" s="5"/>
      <c r="D34" s="6"/>
      <c r="E34" s="101"/>
      <c r="F34" s="104"/>
      <c r="G34" s="98">
        <f t="shared" si="0"/>
        <v>0</v>
      </c>
      <c r="H34" s="113"/>
      <c r="I34" s="114"/>
      <c r="J34" s="114"/>
      <c r="K34" s="114"/>
      <c r="L34" s="115"/>
      <c r="M34" s="105">
        <f t="shared" si="2"/>
        <v>8</v>
      </c>
    </row>
    <row r="35" spans="2:13" ht="15" thickBot="1" x14ac:dyDescent="0.4">
      <c r="B35" s="302" t="s">
        <v>68</v>
      </c>
      <c r="C35" s="303"/>
      <c r="D35" s="303"/>
      <c r="E35" s="303"/>
      <c r="F35" s="303"/>
      <c r="G35" s="119">
        <f t="shared" ref="G35:L35" si="3">SUM(G4:G34)</f>
        <v>3</v>
      </c>
      <c r="H35" s="118">
        <f t="shared" si="3"/>
        <v>0</v>
      </c>
      <c r="I35" s="118">
        <f t="shared" si="3"/>
        <v>0</v>
      </c>
      <c r="J35" s="118">
        <f t="shared" si="3"/>
        <v>0</v>
      </c>
      <c r="K35" s="118">
        <f t="shared" si="3"/>
        <v>0</v>
      </c>
      <c r="L35" s="118">
        <f t="shared" si="3"/>
        <v>0</v>
      </c>
      <c r="M35" s="119">
        <f>SUM(H35:L35)</f>
        <v>0</v>
      </c>
    </row>
    <row r="36" spans="2:13" ht="15" thickBot="1" x14ac:dyDescent="0.4">
      <c r="B36" s="302" t="s">
        <v>78</v>
      </c>
      <c r="C36" s="303"/>
      <c r="D36" s="303"/>
      <c r="E36" s="303"/>
      <c r="F36" s="303"/>
      <c r="G36" s="324">
        <f>G35-SUM(H35:L35)</f>
        <v>3</v>
      </c>
      <c r="H36" s="325"/>
      <c r="I36" s="325"/>
      <c r="J36" s="325"/>
      <c r="K36" s="325"/>
      <c r="L36" s="325"/>
      <c r="M36" s="326"/>
    </row>
    <row r="37" spans="2:13" ht="15" thickBot="1" x14ac:dyDescent="0.4">
      <c r="B37" s="302" t="s">
        <v>12</v>
      </c>
      <c r="C37" s="303"/>
      <c r="D37" s="303"/>
      <c r="E37" s="303"/>
      <c r="F37" s="307"/>
      <c r="G37" s="347">
        <f>H35*1+I35*1.5+J35*2+K35*3+L35*4</f>
        <v>0</v>
      </c>
      <c r="H37" s="347"/>
      <c r="I37" s="347"/>
      <c r="J37" s="347"/>
      <c r="K37" s="347"/>
      <c r="L37" s="347"/>
      <c r="M37" s="348"/>
    </row>
    <row r="38" spans="2:13" ht="15" thickBot="1" x14ac:dyDescent="0.4">
      <c r="B38" s="302" t="s">
        <v>105</v>
      </c>
      <c r="C38" s="303"/>
      <c r="D38" s="303"/>
      <c r="E38" s="303"/>
      <c r="F38" s="303"/>
      <c r="G38" s="346"/>
      <c r="H38" s="347"/>
      <c r="I38" s="347"/>
      <c r="J38" s="347"/>
      <c r="K38" s="347"/>
      <c r="L38" s="347"/>
      <c r="M38" s="348"/>
    </row>
    <row r="39" spans="2:13" ht="15" thickBot="1" x14ac:dyDescent="0.4">
      <c r="B39" s="302" t="s">
        <v>103</v>
      </c>
      <c r="C39" s="303"/>
      <c r="D39" s="303"/>
      <c r="E39" s="303"/>
      <c r="F39" s="303"/>
      <c r="G39" s="308">
        <v>1</v>
      </c>
      <c r="H39" s="309"/>
      <c r="I39" s="309"/>
      <c r="J39" s="309"/>
      <c r="K39" s="309"/>
      <c r="L39" s="309"/>
      <c r="M39" s="310"/>
    </row>
    <row r="40" spans="2:13" ht="15" thickBot="1" x14ac:dyDescent="0.4">
      <c r="B40" s="302" t="s">
        <v>101</v>
      </c>
      <c r="C40" s="303"/>
      <c r="D40" s="303"/>
      <c r="E40" s="303"/>
      <c r="F40" s="303"/>
      <c r="G40" s="308">
        <v>3</v>
      </c>
      <c r="H40" s="309"/>
      <c r="I40" s="309"/>
      <c r="J40" s="309"/>
      <c r="K40" s="309"/>
      <c r="L40" s="309"/>
      <c r="M40" s="310"/>
    </row>
    <row r="41" spans="2:13" ht="15" thickBot="1" x14ac:dyDescent="0.4">
      <c r="B41" s="300" t="s">
        <v>69</v>
      </c>
      <c r="C41" s="301"/>
      <c r="D41" s="301"/>
      <c r="E41" s="301"/>
      <c r="F41" s="301"/>
      <c r="G41" s="313">
        <f ca="1">TODAY()</f>
        <v>43268</v>
      </c>
      <c r="H41" s="314"/>
      <c r="I41" s="314"/>
      <c r="J41" s="314"/>
      <c r="K41" s="314"/>
      <c r="L41" s="314"/>
      <c r="M41" s="315"/>
    </row>
    <row r="42" spans="2:13" ht="15" thickBot="1" x14ac:dyDescent="0.4">
      <c r="B42" s="302" t="s">
        <v>67</v>
      </c>
      <c r="C42" s="303"/>
      <c r="D42" s="303"/>
      <c r="E42" s="303"/>
      <c r="F42" s="303"/>
      <c r="G42" s="343" t="s">
        <v>108</v>
      </c>
      <c r="H42" s="344"/>
      <c r="I42" s="344"/>
      <c r="J42" s="344"/>
      <c r="K42" s="344"/>
      <c r="L42" s="344"/>
      <c r="M42" s="345"/>
    </row>
  </sheetData>
  <mergeCells count="17">
    <mergeCell ref="B37:F37"/>
    <mergeCell ref="G37:M37"/>
    <mergeCell ref="H2:L2"/>
    <mergeCell ref="M2:M3"/>
    <mergeCell ref="B35:F35"/>
    <mergeCell ref="B36:F36"/>
    <mergeCell ref="G36:M36"/>
    <mergeCell ref="B41:F41"/>
    <mergeCell ref="G41:M41"/>
    <mergeCell ref="B42:F42"/>
    <mergeCell ref="G42:M42"/>
    <mergeCell ref="B38:F38"/>
    <mergeCell ref="G38:M38"/>
    <mergeCell ref="B39:F39"/>
    <mergeCell ref="G39:M39"/>
    <mergeCell ref="B40:F40"/>
    <mergeCell ref="G40:M40"/>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4340" r:id="rId4" name="ComboBox1">
          <controlPr defaultSize="0" autoLine="0" r:id="rId5">
            <anchor moveWithCells="1">
              <from>
                <xdr:col>14</xdr:col>
                <xdr:colOff>482600</xdr:colOff>
                <xdr:row>19</xdr:row>
                <xdr:rowOff>12700</xdr:rowOff>
              </from>
              <to>
                <xdr:col>16</xdr:col>
                <xdr:colOff>171450</xdr:colOff>
                <xdr:row>20</xdr:row>
                <xdr:rowOff>38100</xdr:rowOff>
              </to>
            </anchor>
          </controlPr>
        </control>
      </mc:Choice>
      <mc:Fallback>
        <control shapeId="14340" r:id="rId4" name="ComboBox1"/>
      </mc:Fallback>
    </mc:AlternateContent>
    <mc:AlternateContent xmlns:mc="http://schemas.openxmlformats.org/markup-compatibility/2006">
      <mc:Choice Requires="x14">
        <control shapeId="14337" r:id="rId6" name="Button 1">
          <controlPr defaultSize="0" print="0" autoFill="0" autoPict="0" macro="[0]!CalnPaste">
            <anchor moveWithCells="1" sizeWithCells="1">
              <from>
                <xdr:col>7</xdr:col>
                <xdr:colOff>12700</xdr:colOff>
                <xdr:row>1</xdr:row>
                <xdr:rowOff>0</xdr:rowOff>
              </from>
              <to>
                <xdr:col>11</xdr:col>
                <xdr:colOff>596900</xdr:colOff>
                <xdr:row>1</xdr:row>
                <xdr:rowOff>203200</xdr:rowOff>
              </to>
            </anchor>
          </controlPr>
        </control>
      </mc:Choice>
    </mc:AlternateContent>
    <mc:AlternateContent xmlns:mc="http://schemas.openxmlformats.org/markup-compatibility/2006">
      <mc:Choice Requires="x14">
        <control shapeId="14338" r:id="rId7" name="Button 2">
          <controlPr defaultSize="0" print="0" autoFill="0" autoPict="0" macro="[0]!EraseStart">
            <anchor moveWithCells="1" sizeWithCells="1">
              <from>
                <xdr:col>1</xdr:col>
                <xdr:colOff>603250</xdr:colOff>
                <xdr:row>2</xdr:row>
                <xdr:rowOff>6350</xdr:rowOff>
              </from>
              <to>
                <xdr:col>3</xdr:col>
                <xdr:colOff>6350</xdr:colOff>
                <xdr:row>3</xdr:row>
                <xdr:rowOff>0</xdr:rowOff>
              </to>
            </anchor>
          </controlPr>
        </control>
      </mc:Choice>
    </mc:AlternateContent>
    <mc:AlternateContent xmlns:mc="http://schemas.openxmlformats.org/markup-compatibility/2006">
      <mc:Choice Requires="x14">
        <control shapeId="14339" r:id="rId8" name="Button 3">
          <controlPr defaultSize="0" print="0" autoFill="0" autoPict="0" macro="[0]!EraseEnd">
            <anchor moveWithCells="1" sizeWithCells="1">
              <from>
                <xdr:col>3</xdr:col>
                <xdr:colOff>12700</xdr:colOff>
                <xdr:row>2</xdr:row>
                <xdr:rowOff>6350</xdr:rowOff>
              </from>
              <to>
                <xdr:col>4</xdr:col>
                <xdr:colOff>0</xdr:colOff>
                <xdr:row>3</xdr:row>
                <xdr:rowOff>6350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BBF4-8150-4812-BA05-D502C026ABB5}">
  <sheetPr codeName="Sheet9">
    <tabColor theme="8"/>
  </sheetPr>
  <dimension ref="B1:M42"/>
  <sheetViews>
    <sheetView zoomScaleNormal="100" workbookViewId="0">
      <selection activeCell="C4" sqref="C4:D7"/>
    </sheetView>
  </sheetViews>
  <sheetFormatPr defaultRowHeight="14.5" x14ac:dyDescent="0.35"/>
  <cols>
    <col min="1" max="1" width="2.54296875" customWidth="1"/>
    <col min="2" max="2" width="8.7265625" style="2"/>
    <col min="3" max="4" width="12.08984375" style="4" bestFit="1" customWidth="1"/>
    <col min="5" max="5" width="20.6328125" style="2" customWidth="1"/>
    <col min="6" max="6" width="10.6328125" style="1" bestFit="1" customWidth="1"/>
    <col min="7" max="7" width="12.08984375" style="125" bestFit="1" customWidth="1"/>
    <col min="8" max="9" width="8.7265625" style="1"/>
    <col min="13" max="13" width="9.08984375" style="3" bestFit="1" customWidth="1"/>
    <col min="14" max="14" width="12.54296875" customWidth="1"/>
  </cols>
  <sheetData>
    <row r="1" spans="2:13" ht="15" thickBot="1" x14ac:dyDescent="0.4"/>
    <row r="2" spans="2:13" ht="17" customHeight="1" thickBot="1" x14ac:dyDescent="0.4">
      <c r="B2" s="116" t="s">
        <v>13</v>
      </c>
      <c r="C2" s="117" t="s">
        <v>107</v>
      </c>
      <c r="D2" s="149" t="s">
        <v>35</v>
      </c>
      <c r="E2" s="117" t="s">
        <v>42</v>
      </c>
      <c r="F2" s="160" t="s">
        <v>14</v>
      </c>
      <c r="G2" s="133" t="s">
        <v>47</v>
      </c>
      <c r="H2" s="349" t="s">
        <v>12</v>
      </c>
      <c r="I2" s="350"/>
      <c r="J2" s="350"/>
      <c r="K2" s="350"/>
      <c r="L2" s="351"/>
      <c r="M2" s="352" t="s">
        <v>9</v>
      </c>
    </row>
    <row r="3" spans="2:13" ht="15" thickBot="1" x14ac:dyDescent="0.4">
      <c r="B3" s="150" t="s">
        <v>6</v>
      </c>
      <c r="C3" s="147" t="s">
        <v>0</v>
      </c>
      <c r="D3" s="147" t="s">
        <v>1</v>
      </c>
      <c r="E3" s="150" t="s">
        <v>2</v>
      </c>
      <c r="F3" s="150" t="s">
        <v>3</v>
      </c>
      <c r="G3" s="148" t="s">
        <v>104</v>
      </c>
      <c r="H3" s="106" t="s">
        <v>118</v>
      </c>
      <c r="I3" s="107" t="s">
        <v>7</v>
      </c>
      <c r="J3" s="108" t="s">
        <v>8</v>
      </c>
      <c r="K3" s="108" t="s">
        <v>16</v>
      </c>
      <c r="L3" s="109" t="s">
        <v>17</v>
      </c>
      <c r="M3" s="311"/>
    </row>
    <row r="4" spans="2:13" x14ac:dyDescent="0.35">
      <c r="B4" s="97">
        <v>1</v>
      </c>
      <c r="C4" s="5">
        <v>0.375</v>
      </c>
      <c r="D4" s="6">
        <v>0.70833333333333337</v>
      </c>
      <c r="E4" s="99" t="s">
        <v>20</v>
      </c>
      <c r="F4" s="102"/>
      <c r="G4" s="98">
        <f t="shared" ref="G4:G34" si="0">IF(OR(AND(C4="OL",D4="OL"),AND(C4="LL",D4="LL"),AND(C4="MC",D4="MC"),AND(C4="O",D4="O"),AND(C4="CSE",D4="CSE")), 0, HOUR($D4)+MINUTE($D4)/60-HOUR($C4)-MINUTE($C4)/60)</f>
        <v>8</v>
      </c>
      <c r="H4" s="111"/>
      <c r="I4" s="110"/>
      <c r="J4" s="110"/>
      <c r="K4" s="110"/>
      <c r="L4" s="112"/>
      <c r="M4" s="105">
        <f t="shared" ref="M4:M14" si="1">IF(H:H,H4*1,IF(I:I,I4*1.5,IF(J:J,J4*2,IF(K:K,K4*3,IF(L:L,L4*3,0))))+IF(OR(NOT(E4="SU"),NOT(E4="SA"),NOT(C4="O"),NOT(C4="MC"),NOT(C4="CSE"),NOT(C4="LL"),NOT(C4="OL"))*8,0))</f>
        <v>0</v>
      </c>
    </row>
    <row r="5" spans="2:13" x14ac:dyDescent="0.35">
      <c r="B5" s="97">
        <v>2</v>
      </c>
      <c r="C5" s="5">
        <v>0.375</v>
      </c>
      <c r="D5" s="6">
        <v>0.70833333333333337</v>
      </c>
      <c r="E5" s="100" t="s">
        <v>21</v>
      </c>
      <c r="F5" s="103"/>
      <c r="G5" s="98">
        <f t="shared" si="0"/>
        <v>8</v>
      </c>
      <c r="H5" s="111"/>
      <c r="I5" s="110"/>
      <c r="J5" s="110"/>
      <c r="K5" s="110"/>
      <c r="L5" s="112"/>
      <c r="M5" s="105">
        <f t="shared" si="1"/>
        <v>0</v>
      </c>
    </row>
    <row r="6" spans="2:13" x14ac:dyDescent="0.35">
      <c r="B6" s="97">
        <v>3</v>
      </c>
      <c r="C6" s="5">
        <v>0.375</v>
      </c>
      <c r="D6" s="6">
        <v>0.70833333333333337</v>
      </c>
      <c r="E6" s="100" t="s">
        <v>22</v>
      </c>
      <c r="F6" s="103"/>
      <c r="G6" s="98">
        <f t="shared" si="0"/>
        <v>8</v>
      </c>
      <c r="H6" s="111"/>
      <c r="I6" s="110"/>
      <c r="J6" s="110"/>
      <c r="K6" s="110"/>
      <c r="L6" s="112"/>
      <c r="M6" s="105">
        <f t="shared" si="1"/>
        <v>0</v>
      </c>
    </row>
    <row r="7" spans="2:13" x14ac:dyDescent="0.35">
      <c r="B7" s="97">
        <v>4</v>
      </c>
      <c r="C7" s="5">
        <v>0.375</v>
      </c>
      <c r="D7" s="6">
        <v>0.70833333333333304</v>
      </c>
      <c r="E7" s="100" t="s">
        <v>4</v>
      </c>
      <c r="F7" s="103"/>
      <c r="G7" s="98">
        <f t="shared" si="0"/>
        <v>8</v>
      </c>
      <c r="H7" s="111"/>
      <c r="I7" s="110"/>
      <c r="J7" s="110"/>
      <c r="K7" s="110"/>
      <c r="L7" s="112"/>
      <c r="M7" s="105">
        <f t="shared" si="1"/>
        <v>0</v>
      </c>
    </row>
    <row r="8" spans="2:13" x14ac:dyDescent="0.35">
      <c r="B8" s="97">
        <v>5</v>
      </c>
      <c r="C8" s="5"/>
      <c r="D8" s="6"/>
      <c r="E8" s="100" t="s">
        <v>5</v>
      </c>
      <c r="F8" s="103"/>
      <c r="G8" s="98">
        <f t="shared" si="0"/>
        <v>0</v>
      </c>
      <c r="H8" s="111"/>
      <c r="I8" s="110"/>
      <c r="J8" s="110"/>
      <c r="K8" s="110"/>
      <c r="L8" s="112"/>
      <c r="M8" s="105">
        <f t="shared" si="1"/>
        <v>0</v>
      </c>
    </row>
    <row r="9" spans="2:13" x14ac:dyDescent="0.35">
      <c r="B9" s="97">
        <v>6</v>
      </c>
      <c r="C9" s="5"/>
      <c r="D9" s="6"/>
      <c r="E9" s="100" t="s">
        <v>24</v>
      </c>
      <c r="F9" s="103" t="s">
        <v>11</v>
      </c>
      <c r="G9" s="98">
        <f t="shared" si="0"/>
        <v>0</v>
      </c>
      <c r="H9" s="111"/>
      <c r="I9" s="110"/>
      <c r="J9" s="110"/>
      <c r="K9" s="110"/>
      <c r="L9" s="112"/>
      <c r="M9" s="105">
        <f t="shared" si="1"/>
        <v>0</v>
      </c>
    </row>
    <row r="10" spans="2:13" x14ac:dyDescent="0.35">
      <c r="B10" s="97">
        <v>7</v>
      </c>
      <c r="C10" s="5"/>
      <c r="D10" s="6"/>
      <c r="E10" s="100" t="s">
        <v>21</v>
      </c>
      <c r="F10" s="103" t="s">
        <v>11</v>
      </c>
      <c r="G10" s="98">
        <f t="shared" si="0"/>
        <v>0</v>
      </c>
      <c r="H10" s="111"/>
      <c r="I10" s="110"/>
      <c r="J10" s="110"/>
      <c r="K10" s="110"/>
      <c r="L10" s="112"/>
      <c r="M10" s="105">
        <f t="shared" si="1"/>
        <v>0</v>
      </c>
    </row>
    <row r="11" spans="2:13" x14ac:dyDescent="0.35">
      <c r="B11" s="97">
        <v>8</v>
      </c>
      <c r="C11" s="5"/>
      <c r="D11" s="6"/>
      <c r="E11" s="100" t="s">
        <v>20</v>
      </c>
      <c r="F11" s="103"/>
      <c r="G11" s="98">
        <f t="shared" si="0"/>
        <v>0</v>
      </c>
      <c r="H11" s="111"/>
      <c r="I11" s="110"/>
      <c r="J11" s="110"/>
      <c r="K11" s="110"/>
      <c r="L11" s="112"/>
      <c r="M11" s="105">
        <f t="shared" si="1"/>
        <v>0</v>
      </c>
    </row>
    <row r="12" spans="2:13" x14ac:dyDescent="0.35">
      <c r="B12" s="97">
        <v>9</v>
      </c>
      <c r="C12" s="5"/>
      <c r="D12" s="6"/>
      <c r="E12" s="100" t="s">
        <v>21</v>
      </c>
      <c r="F12" s="103"/>
      <c r="G12" s="98">
        <f t="shared" si="0"/>
        <v>0</v>
      </c>
      <c r="H12" s="111"/>
      <c r="I12" s="110"/>
      <c r="J12" s="110"/>
      <c r="K12" s="110"/>
      <c r="L12" s="112"/>
      <c r="M12" s="105">
        <f t="shared" si="1"/>
        <v>0</v>
      </c>
    </row>
    <row r="13" spans="2:13" x14ac:dyDescent="0.35">
      <c r="B13" s="97">
        <v>10</v>
      </c>
      <c r="C13" s="5"/>
      <c r="D13" s="6"/>
      <c r="E13" s="100" t="s">
        <v>22</v>
      </c>
      <c r="F13" s="103"/>
      <c r="G13" s="98">
        <f t="shared" si="0"/>
        <v>0</v>
      </c>
      <c r="H13" s="111"/>
      <c r="I13" s="110"/>
      <c r="J13" s="110"/>
      <c r="K13" s="110"/>
      <c r="L13" s="112"/>
      <c r="M13" s="105">
        <f t="shared" si="1"/>
        <v>0</v>
      </c>
    </row>
    <row r="14" spans="2:13" x14ac:dyDescent="0.35">
      <c r="B14" s="97">
        <v>11</v>
      </c>
      <c r="C14" s="5"/>
      <c r="D14" s="6"/>
      <c r="E14" s="100" t="s">
        <v>4</v>
      </c>
      <c r="F14" s="103" t="s">
        <v>11</v>
      </c>
      <c r="G14" s="98">
        <f t="shared" si="0"/>
        <v>0</v>
      </c>
      <c r="H14" s="111"/>
      <c r="I14" s="110"/>
      <c r="J14" s="110"/>
      <c r="K14" s="110"/>
      <c r="L14" s="112"/>
      <c r="M14" s="105">
        <f t="shared" si="1"/>
        <v>0</v>
      </c>
    </row>
    <row r="15" spans="2:13" x14ac:dyDescent="0.35">
      <c r="B15" s="97">
        <v>12</v>
      </c>
      <c r="C15" s="5"/>
      <c r="D15" s="6"/>
      <c r="E15" s="100" t="s">
        <v>5</v>
      </c>
      <c r="F15" s="103" t="s">
        <v>11</v>
      </c>
      <c r="G15" s="98">
        <f t="shared" si="0"/>
        <v>0</v>
      </c>
      <c r="H15" s="111"/>
      <c r="I15" s="110"/>
      <c r="J15" s="110"/>
      <c r="K15" s="110"/>
      <c r="L15" s="112"/>
      <c r="M15" s="105">
        <f t="shared" ref="M15:M34" si="2">IF(H:H,H15*1,IF(I:I,I15*1.5,IF(J:J,J15*2,IF(K:K,K15*3,IF(L:L,L15*3,0))))+IF(OR(NOT(E15="SU"),NOT(E15="SA")),8,0))</f>
        <v>8</v>
      </c>
    </row>
    <row r="16" spans="2:13" x14ac:dyDescent="0.35">
      <c r="B16" s="97">
        <v>13</v>
      </c>
      <c r="C16" s="5"/>
      <c r="D16" s="6"/>
      <c r="E16" s="100" t="s">
        <v>24</v>
      </c>
      <c r="F16" s="103"/>
      <c r="G16" s="98">
        <f t="shared" si="0"/>
        <v>0</v>
      </c>
      <c r="H16" s="111"/>
      <c r="I16" s="110"/>
      <c r="J16" s="110"/>
      <c r="K16" s="110"/>
      <c r="L16" s="112"/>
      <c r="M16" s="105">
        <f t="shared" si="2"/>
        <v>8</v>
      </c>
    </row>
    <row r="17" spans="2:13" x14ac:dyDescent="0.35">
      <c r="B17" s="97">
        <v>14</v>
      </c>
      <c r="C17" s="5"/>
      <c r="D17" s="6"/>
      <c r="E17" s="100" t="s">
        <v>21</v>
      </c>
      <c r="F17" s="103"/>
      <c r="G17" s="98">
        <f t="shared" si="0"/>
        <v>0</v>
      </c>
      <c r="H17" s="111"/>
      <c r="I17" s="110"/>
      <c r="J17" s="110"/>
      <c r="K17" s="110"/>
      <c r="L17" s="112"/>
      <c r="M17" s="105">
        <f t="shared" si="2"/>
        <v>8</v>
      </c>
    </row>
    <row r="18" spans="2:13" x14ac:dyDescent="0.35">
      <c r="B18" s="97">
        <v>15</v>
      </c>
      <c r="C18" s="5"/>
      <c r="D18" s="6"/>
      <c r="E18" s="100" t="s">
        <v>20</v>
      </c>
      <c r="F18" s="103"/>
      <c r="G18" s="98">
        <f t="shared" si="0"/>
        <v>0</v>
      </c>
      <c r="H18" s="111"/>
      <c r="I18" s="110"/>
      <c r="J18" s="110"/>
      <c r="K18" s="110"/>
      <c r="L18" s="112"/>
      <c r="M18" s="105">
        <f t="shared" si="2"/>
        <v>8</v>
      </c>
    </row>
    <row r="19" spans="2:13" x14ac:dyDescent="0.35">
      <c r="B19" s="97">
        <v>16</v>
      </c>
      <c r="C19" s="5"/>
      <c r="D19" s="6"/>
      <c r="E19" s="100" t="s">
        <v>21</v>
      </c>
      <c r="F19" s="103"/>
      <c r="G19" s="98">
        <f t="shared" si="0"/>
        <v>0</v>
      </c>
      <c r="H19" s="111"/>
      <c r="I19" s="110"/>
      <c r="J19" s="110"/>
      <c r="K19" s="110"/>
      <c r="L19" s="112"/>
      <c r="M19" s="105">
        <f t="shared" si="2"/>
        <v>8</v>
      </c>
    </row>
    <row r="20" spans="2:13" x14ac:dyDescent="0.35">
      <c r="B20" s="97">
        <v>17</v>
      </c>
      <c r="C20" s="5"/>
      <c r="D20" s="6"/>
      <c r="E20" s="100" t="s">
        <v>22</v>
      </c>
      <c r="F20" s="103"/>
      <c r="G20" s="98">
        <f t="shared" si="0"/>
        <v>0</v>
      </c>
      <c r="H20" s="111"/>
      <c r="I20" s="110"/>
      <c r="J20" s="110"/>
      <c r="K20" s="110"/>
      <c r="L20" s="112"/>
      <c r="M20" s="105">
        <f t="shared" si="2"/>
        <v>8</v>
      </c>
    </row>
    <row r="21" spans="2:13" x14ac:dyDescent="0.35">
      <c r="B21" s="97">
        <v>18</v>
      </c>
      <c r="C21" s="5"/>
      <c r="D21" s="6"/>
      <c r="E21" s="100" t="s">
        <v>23</v>
      </c>
      <c r="F21" s="103"/>
      <c r="G21" s="98">
        <f t="shared" si="0"/>
        <v>0</v>
      </c>
      <c r="H21" s="111"/>
      <c r="I21" s="110"/>
      <c r="J21" s="110"/>
      <c r="K21" s="110"/>
      <c r="L21" s="112"/>
      <c r="M21" s="105">
        <f t="shared" si="2"/>
        <v>8</v>
      </c>
    </row>
    <row r="22" spans="2:13" x14ac:dyDescent="0.35">
      <c r="B22" s="97">
        <v>19</v>
      </c>
      <c r="C22" s="5"/>
      <c r="D22" s="6"/>
      <c r="E22" s="100" t="s">
        <v>23</v>
      </c>
      <c r="F22" s="103"/>
      <c r="G22" s="98">
        <f t="shared" si="0"/>
        <v>0</v>
      </c>
      <c r="H22" s="111"/>
      <c r="I22" s="110"/>
      <c r="J22" s="110"/>
      <c r="K22" s="110"/>
      <c r="L22" s="112"/>
      <c r="M22" s="105">
        <f t="shared" si="2"/>
        <v>8</v>
      </c>
    </row>
    <row r="23" spans="2:13" x14ac:dyDescent="0.35">
      <c r="B23" s="97">
        <v>20</v>
      </c>
      <c r="C23" s="5"/>
      <c r="D23" s="6"/>
      <c r="E23" s="100" t="s">
        <v>24</v>
      </c>
      <c r="F23" s="103"/>
      <c r="G23" s="98">
        <f t="shared" si="0"/>
        <v>0</v>
      </c>
      <c r="H23" s="111"/>
      <c r="I23" s="110"/>
      <c r="J23" s="110"/>
      <c r="K23" s="110"/>
      <c r="L23" s="112"/>
      <c r="M23" s="105">
        <f t="shared" si="2"/>
        <v>8</v>
      </c>
    </row>
    <row r="24" spans="2:13" x14ac:dyDescent="0.35">
      <c r="B24" s="97">
        <v>21</v>
      </c>
      <c r="C24" s="5"/>
      <c r="D24" s="6"/>
      <c r="E24" s="100" t="s">
        <v>21</v>
      </c>
      <c r="F24" s="103"/>
      <c r="G24" s="98">
        <f t="shared" si="0"/>
        <v>0</v>
      </c>
      <c r="H24" s="111"/>
      <c r="I24" s="110"/>
      <c r="J24" s="110"/>
      <c r="K24" s="110"/>
      <c r="L24" s="112"/>
      <c r="M24" s="105">
        <f t="shared" si="2"/>
        <v>8</v>
      </c>
    </row>
    <row r="25" spans="2:13" x14ac:dyDescent="0.35">
      <c r="B25" s="97">
        <v>22</v>
      </c>
      <c r="C25" s="5"/>
      <c r="D25" s="6"/>
      <c r="E25" s="100" t="s">
        <v>20</v>
      </c>
      <c r="F25" s="103"/>
      <c r="G25" s="98">
        <f t="shared" si="0"/>
        <v>0</v>
      </c>
      <c r="H25" s="111"/>
      <c r="I25" s="110"/>
      <c r="J25" s="110"/>
      <c r="K25" s="110"/>
      <c r="L25" s="112"/>
      <c r="M25" s="105">
        <f t="shared" si="2"/>
        <v>8</v>
      </c>
    </row>
    <row r="26" spans="2:13" x14ac:dyDescent="0.35">
      <c r="B26" s="97">
        <v>23</v>
      </c>
      <c r="C26" s="5"/>
      <c r="D26" s="6"/>
      <c r="E26" s="100" t="s">
        <v>21</v>
      </c>
      <c r="F26" s="103"/>
      <c r="G26" s="98">
        <f t="shared" si="0"/>
        <v>0</v>
      </c>
      <c r="H26" s="111"/>
      <c r="I26" s="110"/>
      <c r="J26" s="110"/>
      <c r="K26" s="110"/>
      <c r="L26" s="112"/>
      <c r="M26" s="105">
        <f t="shared" si="2"/>
        <v>8</v>
      </c>
    </row>
    <row r="27" spans="2:13" x14ac:dyDescent="0.35">
      <c r="B27" s="97">
        <v>24</v>
      </c>
      <c r="C27" s="5"/>
      <c r="D27" s="6"/>
      <c r="E27" s="100" t="s">
        <v>22</v>
      </c>
      <c r="F27" s="103"/>
      <c r="G27" s="98">
        <f t="shared" si="0"/>
        <v>0</v>
      </c>
      <c r="H27" s="111"/>
      <c r="I27" s="110"/>
      <c r="J27" s="110"/>
      <c r="K27" s="110"/>
      <c r="L27" s="112"/>
      <c r="M27" s="105">
        <f t="shared" si="2"/>
        <v>8</v>
      </c>
    </row>
    <row r="28" spans="2:13" x14ac:dyDescent="0.35">
      <c r="B28" s="97">
        <v>25</v>
      </c>
      <c r="C28" s="5"/>
      <c r="D28" s="6"/>
      <c r="E28" s="100" t="s">
        <v>4</v>
      </c>
      <c r="F28" s="103"/>
      <c r="G28" s="98">
        <f t="shared" si="0"/>
        <v>0</v>
      </c>
      <c r="H28" s="111"/>
      <c r="I28" s="110"/>
      <c r="J28" s="110"/>
      <c r="K28" s="110"/>
      <c r="L28" s="112"/>
      <c r="M28" s="105">
        <f t="shared" si="2"/>
        <v>8</v>
      </c>
    </row>
    <row r="29" spans="2:13" x14ac:dyDescent="0.35">
      <c r="B29" s="97">
        <v>26</v>
      </c>
      <c r="C29" s="5"/>
      <c r="D29" s="6"/>
      <c r="E29" s="100" t="s">
        <v>5</v>
      </c>
      <c r="F29" s="103"/>
      <c r="G29" s="98">
        <f t="shared" si="0"/>
        <v>0</v>
      </c>
      <c r="H29" s="111"/>
      <c r="I29" s="110"/>
      <c r="J29" s="110"/>
      <c r="K29" s="110"/>
      <c r="L29" s="112"/>
      <c r="M29" s="105">
        <f t="shared" si="2"/>
        <v>8</v>
      </c>
    </row>
    <row r="30" spans="2:13" x14ac:dyDescent="0.35">
      <c r="B30" s="97">
        <v>27</v>
      </c>
      <c r="C30" s="5"/>
      <c r="D30" s="6"/>
      <c r="E30" s="100" t="s">
        <v>25</v>
      </c>
      <c r="F30" s="103"/>
      <c r="G30" s="98">
        <f t="shared" si="0"/>
        <v>0</v>
      </c>
      <c r="H30" s="111"/>
      <c r="I30" s="110"/>
      <c r="J30" s="110"/>
      <c r="K30" s="110"/>
      <c r="L30" s="112"/>
      <c r="M30" s="105">
        <f t="shared" si="2"/>
        <v>8</v>
      </c>
    </row>
    <row r="31" spans="2:13" x14ac:dyDescent="0.35">
      <c r="B31" s="97">
        <v>28</v>
      </c>
      <c r="C31" s="5"/>
      <c r="D31" s="6"/>
      <c r="E31" s="100" t="s">
        <v>18</v>
      </c>
      <c r="F31" s="103"/>
      <c r="G31" s="98">
        <f t="shared" si="0"/>
        <v>0</v>
      </c>
      <c r="H31" s="111"/>
      <c r="I31" s="110"/>
      <c r="J31" s="110"/>
      <c r="K31" s="110"/>
      <c r="L31" s="112"/>
      <c r="M31" s="105">
        <f t="shared" si="2"/>
        <v>8</v>
      </c>
    </row>
    <row r="32" spans="2:13" x14ac:dyDescent="0.35">
      <c r="B32" s="97">
        <v>29</v>
      </c>
      <c r="C32" s="5"/>
      <c r="D32" s="6"/>
      <c r="E32" s="100" t="s">
        <v>20</v>
      </c>
      <c r="F32" s="103"/>
      <c r="G32" s="98">
        <f t="shared" si="0"/>
        <v>0</v>
      </c>
      <c r="H32" s="111"/>
      <c r="I32" s="110"/>
      <c r="J32" s="110"/>
      <c r="K32" s="110"/>
      <c r="L32" s="112"/>
      <c r="M32" s="105">
        <f t="shared" si="2"/>
        <v>8</v>
      </c>
    </row>
    <row r="33" spans="2:13" x14ac:dyDescent="0.35">
      <c r="B33" s="97">
        <v>30</v>
      </c>
      <c r="C33" s="5"/>
      <c r="D33" s="6"/>
      <c r="E33" s="100" t="s">
        <v>18</v>
      </c>
      <c r="F33" s="103"/>
      <c r="G33" s="98">
        <f t="shared" si="0"/>
        <v>0</v>
      </c>
      <c r="H33" s="111"/>
      <c r="I33" s="110"/>
      <c r="J33" s="110"/>
      <c r="K33" s="110"/>
      <c r="L33" s="112"/>
      <c r="M33" s="105">
        <f t="shared" si="2"/>
        <v>8</v>
      </c>
    </row>
    <row r="34" spans="2:13" ht="15" thickBot="1" x14ac:dyDescent="0.4">
      <c r="B34" s="97">
        <v>31</v>
      </c>
      <c r="C34" s="5"/>
      <c r="D34" s="6"/>
      <c r="E34" s="101"/>
      <c r="F34" s="104"/>
      <c r="G34" s="98">
        <f t="shared" si="0"/>
        <v>0</v>
      </c>
      <c r="H34" s="113"/>
      <c r="I34" s="114"/>
      <c r="J34" s="114"/>
      <c r="K34" s="114"/>
      <c r="L34" s="115"/>
      <c r="M34" s="105">
        <f t="shared" si="2"/>
        <v>8</v>
      </c>
    </row>
    <row r="35" spans="2:13" ht="15" thickBot="1" x14ac:dyDescent="0.4">
      <c r="B35" s="302" t="s">
        <v>68</v>
      </c>
      <c r="C35" s="303"/>
      <c r="D35" s="303"/>
      <c r="E35" s="303"/>
      <c r="F35" s="303"/>
      <c r="G35" s="119">
        <f t="shared" ref="G35:L35" si="3">SUM(G4:G34)</f>
        <v>32</v>
      </c>
      <c r="H35" s="118">
        <f t="shared" si="3"/>
        <v>0</v>
      </c>
      <c r="I35" s="118">
        <f t="shared" si="3"/>
        <v>0</v>
      </c>
      <c r="J35" s="118">
        <f t="shared" si="3"/>
        <v>0</v>
      </c>
      <c r="K35" s="118">
        <f t="shared" si="3"/>
        <v>0</v>
      </c>
      <c r="L35" s="118">
        <f t="shared" si="3"/>
        <v>0</v>
      </c>
      <c r="M35" s="119">
        <f>SUM(H35:L35)</f>
        <v>0</v>
      </c>
    </row>
    <row r="36" spans="2:13" ht="15" thickBot="1" x14ac:dyDescent="0.4">
      <c r="B36" s="302" t="s">
        <v>78</v>
      </c>
      <c r="C36" s="303"/>
      <c r="D36" s="303"/>
      <c r="E36" s="303"/>
      <c r="F36" s="303"/>
      <c r="G36" s="324">
        <f>G35-SUM(H35:L35)</f>
        <v>32</v>
      </c>
      <c r="H36" s="325"/>
      <c r="I36" s="325"/>
      <c r="J36" s="325"/>
      <c r="K36" s="325"/>
      <c r="L36" s="325"/>
      <c r="M36" s="326"/>
    </row>
    <row r="37" spans="2:13" ht="15" thickBot="1" x14ac:dyDescent="0.4">
      <c r="B37" s="302" t="s">
        <v>12</v>
      </c>
      <c r="C37" s="303"/>
      <c r="D37" s="303"/>
      <c r="E37" s="303"/>
      <c r="F37" s="307"/>
      <c r="G37" s="347">
        <f>H35*1+I35*1.5+J35*2+K35*3+L35*4</f>
        <v>0</v>
      </c>
      <c r="H37" s="347"/>
      <c r="I37" s="347"/>
      <c r="J37" s="347"/>
      <c r="K37" s="347"/>
      <c r="L37" s="347"/>
      <c r="M37" s="348"/>
    </row>
    <row r="38" spans="2:13" ht="15" thickBot="1" x14ac:dyDescent="0.4">
      <c r="B38" s="302" t="s">
        <v>105</v>
      </c>
      <c r="C38" s="303"/>
      <c r="D38" s="303"/>
      <c r="E38" s="303"/>
      <c r="F38" s="303"/>
      <c r="G38" s="346"/>
      <c r="H38" s="347"/>
      <c r="I38" s="347"/>
      <c r="J38" s="347"/>
      <c r="K38" s="347"/>
      <c r="L38" s="347"/>
      <c r="M38" s="348"/>
    </row>
    <row r="39" spans="2:13" ht="15" thickBot="1" x14ac:dyDescent="0.4">
      <c r="B39" s="302" t="s">
        <v>103</v>
      </c>
      <c r="C39" s="303"/>
      <c r="D39" s="303"/>
      <c r="E39" s="303"/>
      <c r="F39" s="303"/>
      <c r="G39" s="308">
        <v>1</v>
      </c>
      <c r="H39" s="309"/>
      <c r="I39" s="309"/>
      <c r="J39" s="309"/>
      <c r="K39" s="309"/>
      <c r="L39" s="309"/>
      <c r="M39" s="310"/>
    </row>
    <row r="40" spans="2:13" ht="15" thickBot="1" x14ac:dyDescent="0.4">
      <c r="B40" s="302" t="s">
        <v>101</v>
      </c>
      <c r="C40" s="303"/>
      <c r="D40" s="303"/>
      <c r="E40" s="303"/>
      <c r="F40" s="303"/>
      <c r="G40" s="308">
        <v>3</v>
      </c>
      <c r="H40" s="309"/>
      <c r="I40" s="309"/>
      <c r="J40" s="309"/>
      <c r="K40" s="309"/>
      <c r="L40" s="309"/>
      <c r="M40" s="310"/>
    </row>
    <row r="41" spans="2:13" ht="15" thickBot="1" x14ac:dyDescent="0.4">
      <c r="B41" s="300" t="s">
        <v>69</v>
      </c>
      <c r="C41" s="301"/>
      <c r="D41" s="301"/>
      <c r="E41" s="301"/>
      <c r="F41" s="301"/>
      <c r="G41" s="313">
        <f ca="1">TODAY()</f>
        <v>43268</v>
      </c>
      <c r="H41" s="314"/>
      <c r="I41" s="314"/>
      <c r="J41" s="314"/>
      <c r="K41" s="314"/>
      <c r="L41" s="314"/>
      <c r="M41" s="315"/>
    </row>
    <row r="42" spans="2:13" ht="15" thickBot="1" x14ac:dyDescent="0.4">
      <c r="B42" s="302" t="s">
        <v>67</v>
      </c>
      <c r="C42" s="303"/>
      <c r="D42" s="303"/>
      <c r="E42" s="303"/>
      <c r="F42" s="303"/>
      <c r="G42" s="343" t="s">
        <v>108</v>
      </c>
      <c r="H42" s="344"/>
      <c r="I42" s="344"/>
      <c r="J42" s="344"/>
      <c r="K42" s="344"/>
      <c r="L42" s="344"/>
      <c r="M42" s="345"/>
    </row>
  </sheetData>
  <mergeCells count="17">
    <mergeCell ref="B37:F37"/>
    <mergeCell ref="G37:M37"/>
    <mergeCell ref="H2:L2"/>
    <mergeCell ref="M2:M3"/>
    <mergeCell ref="B35:F35"/>
    <mergeCell ref="B36:F36"/>
    <mergeCell ref="G36:M36"/>
    <mergeCell ref="B41:F41"/>
    <mergeCell ref="G41:M41"/>
    <mergeCell ref="B42:F42"/>
    <mergeCell ref="G42:M42"/>
    <mergeCell ref="B38:F38"/>
    <mergeCell ref="G38:M38"/>
    <mergeCell ref="B39:F39"/>
    <mergeCell ref="G39:M39"/>
    <mergeCell ref="B40:F40"/>
    <mergeCell ref="G40:M40"/>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3316" r:id="rId4" name="ComboBox1">
          <controlPr defaultSize="0" autoLine="0" r:id="rId5">
            <anchor moveWithCells="1">
              <from>
                <xdr:col>14</xdr:col>
                <xdr:colOff>482600</xdr:colOff>
                <xdr:row>19</xdr:row>
                <xdr:rowOff>12700</xdr:rowOff>
              </from>
              <to>
                <xdr:col>16</xdr:col>
                <xdr:colOff>171450</xdr:colOff>
                <xdr:row>20</xdr:row>
                <xdr:rowOff>38100</xdr:rowOff>
              </to>
            </anchor>
          </controlPr>
        </control>
      </mc:Choice>
      <mc:Fallback>
        <control shapeId="13316" r:id="rId4" name="ComboBox1"/>
      </mc:Fallback>
    </mc:AlternateContent>
    <mc:AlternateContent xmlns:mc="http://schemas.openxmlformats.org/markup-compatibility/2006">
      <mc:Choice Requires="x14">
        <control shapeId="13313" r:id="rId6" name="Button 1">
          <controlPr defaultSize="0" print="0" autoFill="0" autoPict="0" macro="[0]!CalnPaste">
            <anchor moveWithCells="1" sizeWithCells="1">
              <from>
                <xdr:col>7</xdr:col>
                <xdr:colOff>12700</xdr:colOff>
                <xdr:row>1</xdr:row>
                <xdr:rowOff>0</xdr:rowOff>
              </from>
              <to>
                <xdr:col>11</xdr:col>
                <xdr:colOff>596900</xdr:colOff>
                <xdr:row>1</xdr:row>
                <xdr:rowOff>203200</xdr:rowOff>
              </to>
            </anchor>
          </controlPr>
        </control>
      </mc:Choice>
    </mc:AlternateContent>
    <mc:AlternateContent xmlns:mc="http://schemas.openxmlformats.org/markup-compatibility/2006">
      <mc:Choice Requires="x14">
        <control shapeId="13314" r:id="rId7" name="Button 2">
          <controlPr defaultSize="0" print="0" autoFill="0" autoPict="0" macro="[0]!EraseStart">
            <anchor moveWithCells="1" sizeWithCells="1">
              <from>
                <xdr:col>1</xdr:col>
                <xdr:colOff>603250</xdr:colOff>
                <xdr:row>2</xdr:row>
                <xdr:rowOff>6350</xdr:rowOff>
              </from>
              <to>
                <xdr:col>3</xdr:col>
                <xdr:colOff>6350</xdr:colOff>
                <xdr:row>2</xdr:row>
                <xdr:rowOff>184150</xdr:rowOff>
              </to>
            </anchor>
          </controlPr>
        </control>
      </mc:Choice>
    </mc:AlternateContent>
    <mc:AlternateContent xmlns:mc="http://schemas.openxmlformats.org/markup-compatibility/2006">
      <mc:Choice Requires="x14">
        <control shapeId="13315" r:id="rId8" name="Button 3">
          <controlPr defaultSize="0" print="0" autoFill="0" autoPict="0" macro="[0]!EraseEnd">
            <anchor moveWithCells="1" sizeWithCells="1">
              <from>
                <xdr:col>3</xdr:col>
                <xdr:colOff>12700</xdr:colOff>
                <xdr:row>2</xdr:row>
                <xdr:rowOff>6350</xdr:rowOff>
              </from>
              <to>
                <xdr:col>4</xdr:col>
                <xdr:colOff>0</xdr:colOff>
                <xdr:row>3</xdr:row>
                <xdr:rowOff>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CF8D1-CF9D-4804-9973-FB05F5740402}">
  <sheetPr codeName="Sheet12">
    <tabColor theme="8"/>
  </sheetPr>
  <dimension ref="B1:M42"/>
  <sheetViews>
    <sheetView zoomScaleNormal="100" workbookViewId="0">
      <selection activeCell="C4" sqref="C4:D9"/>
    </sheetView>
  </sheetViews>
  <sheetFormatPr defaultRowHeight="14.5" x14ac:dyDescent="0.35"/>
  <cols>
    <col min="1" max="1" width="2.54296875" customWidth="1"/>
    <col min="2" max="2" width="8.7265625" style="2"/>
    <col min="3" max="4" width="12.08984375" style="4" bestFit="1" customWidth="1"/>
    <col min="5" max="5" width="20.6328125" style="2" customWidth="1"/>
    <col min="6" max="6" width="10.6328125" style="1" bestFit="1" customWidth="1"/>
    <col min="7" max="7" width="12.08984375" style="125" bestFit="1" customWidth="1"/>
    <col min="8" max="9" width="8.7265625" style="1"/>
    <col min="13" max="13" width="9.08984375" style="3" bestFit="1" customWidth="1"/>
    <col min="14" max="14" width="12.54296875" customWidth="1"/>
  </cols>
  <sheetData>
    <row r="1" spans="2:13" ht="15" thickBot="1" x14ac:dyDescent="0.4"/>
    <row r="2" spans="2:13" ht="17" customHeight="1" thickBot="1" x14ac:dyDescent="0.4">
      <c r="B2" s="116" t="s">
        <v>13</v>
      </c>
      <c r="C2" s="117" t="s">
        <v>107</v>
      </c>
      <c r="D2" s="149" t="s">
        <v>35</v>
      </c>
      <c r="E2" s="117" t="s">
        <v>42</v>
      </c>
      <c r="F2" s="160" t="s">
        <v>14</v>
      </c>
      <c r="G2" s="133" t="s">
        <v>47</v>
      </c>
      <c r="H2" s="349" t="s">
        <v>12</v>
      </c>
      <c r="I2" s="350"/>
      <c r="J2" s="350"/>
      <c r="K2" s="350"/>
      <c r="L2" s="351"/>
      <c r="M2" s="352" t="s">
        <v>9</v>
      </c>
    </row>
    <row r="3" spans="2:13" ht="15" thickBot="1" x14ac:dyDescent="0.4">
      <c r="B3" s="150" t="s">
        <v>6</v>
      </c>
      <c r="C3" s="147" t="s">
        <v>0</v>
      </c>
      <c r="D3" s="147" t="s">
        <v>1</v>
      </c>
      <c r="E3" s="150" t="s">
        <v>2</v>
      </c>
      <c r="F3" s="150" t="s">
        <v>3</v>
      </c>
      <c r="G3" s="148" t="s">
        <v>104</v>
      </c>
      <c r="H3" s="106" t="s">
        <v>118</v>
      </c>
      <c r="I3" s="107" t="s">
        <v>7</v>
      </c>
      <c r="J3" s="108" t="s">
        <v>8</v>
      </c>
      <c r="K3" s="108" t="s">
        <v>16</v>
      </c>
      <c r="L3" s="109" t="s">
        <v>17</v>
      </c>
      <c r="M3" s="311"/>
    </row>
    <row r="4" spans="2:13" x14ac:dyDescent="0.35">
      <c r="B4" s="97">
        <v>1</v>
      </c>
      <c r="C4" s="5">
        <v>0.375</v>
      </c>
      <c r="D4" s="6">
        <v>0.70833333333333337</v>
      </c>
      <c r="E4" s="99" t="s">
        <v>20</v>
      </c>
      <c r="F4" s="102"/>
      <c r="G4" s="98">
        <f t="shared" ref="G4:G34" si="0">IF(OR(AND(C4="OL",D4="OL"),AND(C4="LL",D4="LL"),AND(C4="MC",D4="MC"),AND(C4="O",D4="O"),AND(C4="CSE",D4="CSE")), 0, HOUR($D4)+MINUTE($D4)/60-HOUR($C4)-MINUTE($C4)/60)</f>
        <v>8</v>
      </c>
      <c r="H4" s="111"/>
      <c r="I4" s="110"/>
      <c r="J4" s="110"/>
      <c r="K4" s="110"/>
      <c r="L4" s="112"/>
      <c r="M4" s="105">
        <f t="shared" ref="M4:M14" si="1">IF(H:H,H4*1,IF(I:I,I4*1.5,IF(J:J,J4*2,IF(K:K,K4*3,IF(L:L,L4*3,0))))+IF(OR(NOT(E4="SU"),NOT(E4="SA"),NOT(C4="O"),NOT(C4="MC"),NOT(C4="CSE"),NOT(C4="LL"),NOT(C4="OL"))*8,0))</f>
        <v>0</v>
      </c>
    </row>
    <row r="5" spans="2:13" x14ac:dyDescent="0.35">
      <c r="B5" s="97">
        <v>2</v>
      </c>
      <c r="C5" s="5">
        <v>0.375</v>
      </c>
      <c r="D5" s="6">
        <v>0.70833333333333337</v>
      </c>
      <c r="E5" s="100" t="s">
        <v>21</v>
      </c>
      <c r="F5" s="103"/>
      <c r="G5" s="98">
        <f t="shared" si="0"/>
        <v>8</v>
      </c>
      <c r="H5" s="111"/>
      <c r="I5" s="110"/>
      <c r="J5" s="110"/>
      <c r="K5" s="110"/>
      <c r="L5" s="112"/>
      <c r="M5" s="105">
        <f t="shared" si="1"/>
        <v>0</v>
      </c>
    </row>
    <row r="6" spans="2:13" x14ac:dyDescent="0.35">
      <c r="B6" s="97">
        <v>3</v>
      </c>
      <c r="C6" s="5">
        <v>0.375</v>
      </c>
      <c r="D6" s="6">
        <v>0.70833333333333337</v>
      </c>
      <c r="E6" s="100" t="s">
        <v>22</v>
      </c>
      <c r="F6" s="103"/>
      <c r="G6" s="98">
        <f t="shared" si="0"/>
        <v>8</v>
      </c>
      <c r="H6" s="111"/>
      <c r="I6" s="110"/>
      <c r="J6" s="110"/>
      <c r="K6" s="110"/>
      <c r="L6" s="112"/>
      <c r="M6" s="105">
        <f t="shared" si="1"/>
        <v>0</v>
      </c>
    </row>
    <row r="7" spans="2:13" x14ac:dyDescent="0.35">
      <c r="B7" s="97">
        <v>4</v>
      </c>
      <c r="C7" s="5">
        <v>0.375</v>
      </c>
      <c r="D7" s="6">
        <v>0.70833333333333304</v>
      </c>
      <c r="E7" s="100" t="s">
        <v>4</v>
      </c>
      <c r="F7" s="103"/>
      <c r="G7" s="98">
        <f t="shared" si="0"/>
        <v>8</v>
      </c>
      <c r="H7" s="111"/>
      <c r="I7" s="110"/>
      <c r="J7" s="110"/>
      <c r="K7" s="110"/>
      <c r="L7" s="112"/>
      <c r="M7" s="105">
        <f t="shared" si="1"/>
        <v>0</v>
      </c>
    </row>
    <row r="8" spans="2:13" x14ac:dyDescent="0.35">
      <c r="B8" s="97">
        <v>5</v>
      </c>
      <c r="C8" s="5">
        <v>0.375</v>
      </c>
      <c r="D8" s="6">
        <v>0.70833333333333304</v>
      </c>
      <c r="E8" s="100" t="s">
        <v>5</v>
      </c>
      <c r="F8" s="103"/>
      <c r="G8" s="98">
        <f t="shared" si="0"/>
        <v>8</v>
      </c>
      <c r="H8" s="111"/>
      <c r="I8" s="110"/>
      <c r="J8" s="110"/>
      <c r="K8" s="110"/>
      <c r="L8" s="112"/>
      <c r="M8" s="105">
        <f t="shared" si="1"/>
        <v>0</v>
      </c>
    </row>
    <row r="9" spans="2:13" x14ac:dyDescent="0.35">
      <c r="B9" s="97">
        <v>6</v>
      </c>
      <c r="C9" s="5">
        <v>0.375</v>
      </c>
      <c r="D9" s="6">
        <v>0.70833333333333304</v>
      </c>
      <c r="E9" s="100" t="s">
        <v>24</v>
      </c>
      <c r="F9" s="103" t="s">
        <v>11</v>
      </c>
      <c r="G9" s="98">
        <f t="shared" si="0"/>
        <v>8</v>
      </c>
      <c r="H9" s="111"/>
      <c r="I9" s="110"/>
      <c r="J9" s="110"/>
      <c r="K9" s="110"/>
      <c r="L9" s="112"/>
      <c r="M9" s="105">
        <f t="shared" si="1"/>
        <v>0</v>
      </c>
    </row>
    <row r="10" spans="2:13" x14ac:dyDescent="0.35">
      <c r="B10" s="97">
        <v>7</v>
      </c>
      <c r="C10" s="5"/>
      <c r="D10" s="6"/>
      <c r="E10" s="100" t="s">
        <v>21</v>
      </c>
      <c r="F10" s="103" t="s">
        <v>11</v>
      </c>
      <c r="G10" s="98">
        <f t="shared" si="0"/>
        <v>0</v>
      </c>
      <c r="H10" s="111"/>
      <c r="I10" s="110"/>
      <c r="J10" s="110"/>
      <c r="K10" s="110"/>
      <c r="L10" s="112"/>
      <c r="M10" s="105">
        <f t="shared" si="1"/>
        <v>0</v>
      </c>
    </row>
    <row r="11" spans="2:13" x14ac:dyDescent="0.35">
      <c r="B11" s="97">
        <v>8</v>
      </c>
      <c r="C11" s="5"/>
      <c r="D11" s="6"/>
      <c r="E11" s="100" t="s">
        <v>20</v>
      </c>
      <c r="F11" s="103"/>
      <c r="G11" s="98">
        <f t="shared" si="0"/>
        <v>0</v>
      </c>
      <c r="H11" s="111"/>
      <c r="I11" s="110"/>
      <c r="J11" s="110"/>
      <c r="K11" s="110"/>
      <c r="L11" s="112"/>
      <c r="M11" s="105">
        <f t="shared" si="1"/>
        <v>0</v>
      </c>
    </row>
    <row r="12" spans="2:13" x14ac:dyDescent="0.35">
      <c r="B12" s="97">
        <v>9</v>
      </c>
      <c r="C12" s="5"/>
      <c r="D12" s="6"/>
      <c r="E12" s="100" t="s">
        <v>21</v>
      </c>
      <c r="F12" s="103"/>
      <c r="G12" s="98">
        <f t="shared" si="0"/>
        <v>0</v>
      </c>
      <c r="H12" s="111"/>
      <c r="I12" s="110"/>
      <c r="J12" s="110"/>
      <c r="K12" s="110"/>
      <c r="L12" s="112"/>
      <c r="M12" s="105">
        <f t="shared" si="1"/>
        <v>0</v>
      </c>
    </row>
    <row r="13" spans="2:13" x14ac:dyDescent="0.35">
      <c r="B13" s="97">
        <v>10</v>
      </c>
      <c r="C13" s="5"/>
      <c r="D13" s="6"/>
      <c r="E13" s="100" t="s">
        <v>22</v>
      </c>
      <c r="F13" s="103"/>
      <c r="G13" s="98">
        <f t="shared" si="0"/>
        <v>0</v>
      </c>
      <c r="H13" s="111"/>
      <c r="I13" s="110"/>
      <c r="J13" s="110"/>
      <c r="K13" s="110"/>
      <c r="L13" s="112"/>
      <c r="M13" s="105">
        <f t="shared" si="1"/>
        <v>0</v>
      </c>
    </row>
    <row r="14" spans="2:13" x14ac:dyDescent="0.35">
      <c r="B14" s="97">
        <v>11</v>
      </c>
      <c r="C14" s="5"/>
      <c r="D14" s="6"/>
      <c r="E14" s="100" t="s">
        <v>4</v>
      </c>
      <c r="F14" s="103" t="s">
        <v>11</v>
      </c>
      <c r="G14" s="98">
        <f t="shared" si="0"/>
        <v>0</v>
      </c>
      <c r="H14" s="111"/>
      <c r="I14" s="110"/>
      <c r="J14" s="110"/>
      <c r="K14" s="110"/>
      <c r="L14" s="112"/>
      <c r="M14" s="105">
        <f t="shared" si="1"/>
        <v>0</v>
      </c>
    </row>
    <row r="15" spans="2:13" x14ac:dyDescent="0.35">
      <c r="B15" s="97">
        <v>12</v>
      </c>
      <c r="C15" s="5"/>
      <c r="D15" s="6"/>
      <c r="E15" s="100" t="s">
        <v>5</v>
      </c>
      <c r="F15" s="103" t="s">
        <v>11</v>
      </c>
      <c r="G15" s="98">
        <f t="shared" si="0"/>
        <v>0</v>
      </c>
      <c r="H15" s="111"/>
      <c r="I15" s="110"/>
      <c r="J15" s="110"/>
      <c r="K15" s="110"/>
      <c r="L15" s="112"/>
      <c r="M15" s="105">
        <f t="shared" ref="M15:M34" si="2">IF(H:H,H15*1,IF(I:I,I15*1.5,IF(J:J,J15*2,IF(K:K,K15*3,IF(L:L,L15*3,0))))+IF(OR(NOT(E15="SU"),NOT(E15="SA")),8,0))</f>
        <v>8</v>
      </c>
    </row>
    <row r="16" spans="2:13" x14ac:dyDescent="0.35">
      <c r="B16" s="97">
        <v>13</v>
      </c>
      <c r="C16" s="5"/>
      <c r="D16" s="6"/>
      <c r="E16" s="100" t="s">
        <v>24</v>
      </c>
      <c r="F16" s="103"/>
      <c r="G16" s="98">
        <f t="shared" si="0"/>
        <v>0</v>
      </c>
      <c r="H16" s="111"/>
      <c r="I16" s="110"/>
      <c r="J16" s="110"/>
      <c r="K16" s="110"/>
      <c r="L16" s="112"/>
      <c r="M16" s="105">
        <f t="shared" si="2"/>
        <v>8</v>
      </c>
    </row>
    <row r="17" spans="2:13" x14ac:dyDescent="0.35">
      <c r="B17" s="97">
        <v>14</v>
      </c>
      <c r="C17" s="5"/>
      <c r="D17" s="6"/>
      <c r="E17" s="100" t="s">
        <v>21</v>
      </c>
      <c r="F17" s="103"/>
      <c r="G17" s="98">
        <f t="shared" si="0"/>
        <v>0</v>
      </c>
      <c r="H17" s="111"/>
      <c r="I17" s="110"/>
      <c r="J17" s="110"/>
      <c r="K17" s="110"/>
      <c r="L17" s="112"/>
      <c r="M17" s="105">
        <f t="shared" si="2"/>
        <v>8</v>
      </c>
    </row>
    <row r="18" spans="2:13" x14ac:dyDescent="0.35">
      <c r="B18" s="97">
        <v>15</v>
      </c>
      <c r="C18" s="5"/>
      <c r="D18" s="6"/>
      <c r="E18" s="100" t="s">
        <v>20</v>
      </c>
      <c r="F18" s="103"/>
      <c r="G18" s="98">
        <f t="shared" si="0"/>
        <v>0</v>
      </c>
      <c r="H18" s="111"/>
      <c r="I18" s="110"/>
      <c r="J18" s="110"/>
      <c r="K18" s="110"/>
      <c r="L18" s="112"/>
      <c r="M18" s="105">
        <f t="shared" si="2"/>
        <v>8</v>
      </c>
    </row>
    <row r="19" spans="2:13" x14ac:dyDescent="0.35">
      <c r="B19" s="97">
        <v>16</v>
      </c>
      <c r="C19" s="5"/>
      <c r="D19" s="6"/>
      <c r="E19" s="100" t="s">
        <v>21</v>
      </c>
      <c r="F19" s="103"/>
      <c r="G19" s="98">
        <f t="shared" si="0"/>
        <v>0</v>
      </c>
      <c r="H19" s="111"/>
      <c r="I19" s="110"/>
      <c r="J19" s="110"/>
      <c r="K19" s="110"/>
      <c r="L19" s="112"/>
      <c r="M19" s="105">
        <f t="shared" si="2"/>
        <v>8</v>
      </c>
    </row>
    <row r="20" spans="2:13" x14ac:dyDescent="0.35">
      <c r="B20" s="97">
        <v>17</v>
      </c>
      <c r="C20" s="5"/>
      <c r="D20" s="6"/>
      <c r="E20" s="100" t="s">
        <v>22</v>
      </c>
      <c r="F20" s="103"/>
      <c r="G20" s="98">
        <f t="shared" si="0"/>
        <v>0</v>
      </c>
      <c r="H20" s="111"/>
      <c r="I20" s="110"/>
      <c r="J20" s="110"/>
      <c r="K20" s="110"/>
      <c r="L20" s="112"/>
      <c r="M20" s="105">
        <f t="shared" si="2"/>
        <v>8</v>
      </c>
    </row>
    <row r="21" spans="2:13" x14ac:dyDescent="0.35">
      <c r="B21" s="97">
        <v>18</v>
      </c>
      <c r="C21" s="5"/>
      <c r="D21" s="6"/>
      <c r="E21" s="100" t="s">
        <v>23</v>
      </c>
      <c r="F21" s="103"/>
      <c r="G21" s="98">
        <f t="shared" si="0"/>
        <v>0</v>
      </c>
      <c r="H21" s="111"/>
      <c r="I21" s="110"/>
      <c r="J21" s="110"/>
      <c r="K21" s="110"/>
      <c r="L21" s="112"/>
      <c r="M21" s="105">
        <f t="shared" si="2"/>
        <v>8</v>
      </c>
    </row>
    <row r="22" spans="2:13" x14ac:dyDescent="0.35">
      <c r="B22" s="97">
        <v>19</v>
      </c>
      <c r="C22" s="5"/>
      <c r="D22" s="6"/>
      <c r="E22" s="100" t="s">
        <v>23</v>
      </c>
      <c r="F22" s="103"/>
      <c r="G22" s="98">
        <f t="shared" si="0"/>
        <v>0</v>
      </c>
      <c r="H22" s="111"/>
      <c r="I22" s="110"/>
      <c r="J22" s="110"/>
      <c r="K22" s="110"/>
      <c r="L22" s="112"/>
      <c r="M22" s="105">
        <f t="shared" si="2"/>
        <v>8</v>
      </c>
    </row>
    <row r="23" spans="2:13" x14ac:dyDescent="0.35">
      <c r="B23" s="97">
        <v>20</v>
      </c>
      <c r="C23" s="5"/>
      <c r="D23" s="6"/>
      <c r="E23" s="100" t="s">
        <v>24</v>
      </c>
      <c r="F23" s="103"/>
      <c r="G23" s="98">
        <f t="shared" si="0"/>
        <v>0</v>
      </c>
      <c r="H23" s="111"/>
      <c r="I23" s="110"/>
      <c r="J23" s="110"/>
      <c r="K23" s="110"/>
      <c r="L23" s="112"/>
      <c r="M23" s="105">
        <f t="shared" si="2"/>
        <v>8</v>
      </c>
    </row>
    <row r="24" spans="2:13" x14ac:dyDescent="0.35">
      <c r="B24" s="97">
        <v>21</v>
      </c>
      <c r="C24" s="5"/>
      <c r="D24" s="6"/>
      <c r="E24" s="100" t="s">
        <v>21</v>
      </c>
      <c r="F24" s="103"/>
      <c r="G24" s="98">
        <f t="shared" si="0"/>
        <v>0</v>
      </c>
      <c r="H24" s="111"/>
      <c r="I24" s="110"/>
      <c r="J24" s="110"/>
      <c r="K24" s="110"/>
      <c r="L24" s="112"/>
      <c r="M24" s="105">
        <f t="shared" si="2"/>
        <v>8</v>
      </c>
    </row>
    <row r="25" spans="2:13" x14ac:dyDescent="0.35">
      <c r="B25" s="97">
        <v>22</v>
      </c>
      <c r="C25" s="5"/>
      <c r="D25" s="6"/>
      <c r="E25" s="100" t="s">
        <v>20</v>
      </c>
      <c r="F25" s="103"/>
      <c r="G25" s="98">
        <f t="shared" si="0"/>
        <v>0</v>
      </c>
      <c r="H25" s="111"/>
      <c r="I25" s="110"/>
      <c r="J25" s="110"/>
      <c r="K25" s="110"/>
      <c r="L25" s="112"/>
      <c r="M25" s="105">
        <f t="shared" si="2"/>
        <v>8</v>
      </c>
    </row>
    <row r="26" spans="2:13" x14ac:dyDescent="0.35">
      <c r="B26" s="97">
        <v>23</v>
      </c>
      <c r="C26" s="5"/>
      <c r="D26" s="6"/>
      <c r="E26" s="100" t="s">
        <v>21</v>
      </c>
      <c r="F26" s="103"/>
      <c r="G26" s="98">
        <f t="shared" si="0"/>
        <v>0</v>
      </c>
      <c r="H26" s="111"/>
      <c r="I26" s="110"/>
      <c r="J26" s="110"/>
      <c r="K26" s="110"/>
      <c r="L26" s="112"/>
      <c r="M26" s="105">
        <f t="shared" si="2"/>
        <v>8</v>
      </c>
    </row>
    <row r="27" spans="2:13" x14ac:dyDescent="0.35">
      <c r="B27" s="97">
        <v>24</v>
      </c>
      <c r="C27" s="5"/>
      <c r="D27" s="6"/>
      <c r="E27" s="100" t="s">
        <v>22</v>
      </c>
      <c r="F27" s="103"/>
      <c r="G27" s="98">
        <f t="shared" si="0"/>
        <v>0</v>
      </c>
      <c r="H27" s="111"/>
      <c r="I27" s="110"/>
      <c r="J27" s="110"/>
      <c r="K27" s="110"/>
      <c r="L27" s="112"/>
      <c r="M27" s="105">
        <f t="shared" si="2"/>
        <v>8</v>
      </c>
    </row>
    <row r="28" spans="2:13" x14ac:dyDescent="0.35">
      <c r="B28" s="97">
        <v>25</v>
      </c>
      <c r="C28" s="5"/>
      <c r="D28" s="6"/>
      <c r="E28" s="100" t="s">
        <v>4</v>
      </c>
      <c r="F28" s="103"/>
      <c r="G28" s="98">
        <f t="shared" si="0"/>
        <v>0</v>
      </c>
      <c r="H28" s="111"/>
      <c r="I28" s="110"/>
      <c r="J28" s="110"/>
      <c r="K28" s="110"/>
      <c r="L28" s="112"/>
      <c r="M28" s="105">
        <f t="shared" si="2"/>
        <v>8</v>
      </c>
    </row>
    <row r="29" spans="2:13" x14ac:dyDescent="0.35">
      <c r="B29" s="97">
        <v>26</v>
      </c>
      <c r="C29" s="5"/>
      <c r="D29" s="6"/>
      <c r="E29" s="100" t="s">
        <v>5</v>
      </c>
      <c r="F29" s="103"/>
      <c r="G29" s="98">
        <f t="shared" si="0"/>
        <v>0</v>
      </c>
      <c r="H29" s="111"/>
      <c r="I29" s="110"/>
      <c r="J29" s="110"/>
      <c r="K29" s="110"/>
      <c r="L29" s="112"/>
      <c r="M29" s="105">
        <f t="shared" si="2"/>
        <v>8</v>
      </c>
    </row>
    <row r="30" spans="2:13" x14ac:dyDescent="0.35">
      <c r="B30" s="97">
        <v>27</v>
      </c>
      <c r="C30" s="5"/>
      <c r="D30" s="6"/>
      <c r="E30" s="100" t="s">
        <v>25</v>
      </c>
      <c r="F30" s="103"/>
      <c r="G30" s="98">
        <f t="shared" si="0"/>
        <v>0</v>
      </c>
      <c r="H30" s="111"/>
      <c r="I30" s="110"/>
      <c r="J30" s="110"/>
      <c r="K30" s="110"/>
      <c r="L30" s="112"/>
      <c r="M30" s="105">
        <f t="shared" si="2"/>
        <v>8</v>
      </c>
    </row>
    <row r="31" spans="2:13" x14ac:dyDescent="0.35">
      <c r="B31" s="97">
        <v>28</v>
      </c>
      <c r="C31" s="5"/>
      <c r="D31" s="6"/>
      <c r="E31" s="100" t="s">
        <v>18</v>
      </c>
      <c r="F31" s="103"/>
      <c r="G31" s="98">
        <f t="shared" si="0"/>
        <v>0</v>
      </c>
      <c r="H31" s="111"/>
      <c r="I31" s="110"/>
      <c r="J31" s="110"/>
      <c r="K31" s="110"/>
      <c r="L31" s="112"/>
      <c r="M31" s="105">
        <f t="shared" si="2"/>
        <v>8</v>
      </c>
    </row>
    <row r="32" spans="2:13" x14ac:dyDescent="0.35">
      <c r="B32" s="97">
        <v>29</v>
      </c>
      <c r="C32" s="5"/>
      <c r="D32" s="6"/>
      <c r="E32" s="100" t="s">
        <v>20</v>
      </c>
      <c r="F32" s="103"/>
      <c r="G32" s="98">
        <f t="shared" si="0"/>
        <v>0</v>
      </c>
      <c r="H32" s="111"/>
      <c r="I32" s="110"/>
      <c r="J32" s="110"/>
      <c r="K32" s="110"/>
      <c r="L32" s="112"/>
      <c r="M32" s="105">
        <f t="shared" si="2"/>
        <v>8</v>
      </c>
    </row>
    <row r="33" spans="2:13" x14ac:dyDescent="0.35">
      <c r="B33" s="97">
        <v>30</v>
      </c>
      <c r="C33" s="5"/>
      <c r="D33" s="6"/>
      <c r="E33" s="100" t="s">
        <v>18</v>
      </c>
      <c r="F33" s="103"/>
      <c r="G33" s="98">
        <f t="shared" si="0"/>
        <v>0</v>
      </c>
      <c r="H33" s="111"/>
      <c r="I33" s="110"/>
      <c r="J33" s="110"/>
      <c r="K33" s="110"/>
      <c r="L33" s="112"/>
      <c r="M33" s="105">
        <f t="shared" si="2"/>
        <v>8</v>
      </c>
    </row>
    <row r="34" spans="2:13" ht="15" thickBot="1" x14ac:dyDescent="0.4">
      <c r="B34" s="97">
        <v>31</v>
      </c>
      <c r="C34" s="5"/>
      <c r="D34" s="6"/>
      <c r="E34" s="101"/>
      <c r="F34" s="104"/>
      <c r="G34" s="98">
        <f t="shared" si="0"/>
        <v>0</v>
      </c>
      <c r="H34" s="113"/>
      <c r="I34" s="114"/>
      <c r="J34" s="114"/>
      <c r="K34" s="114"/>
      <c r="L34" s="115"/>
      <c r="M34" s="105">
        <f t="shared" si="2"/>
        <v>8</v>
      </c>
    </row>
    <row r="35" spans="2:13" ht="15" thickBot="1" x14ac:dyDescent="0.4">
      <c r="B35" s="302" t="s">
        <v>68</v>
      </c>
      <c r="C35" s="303"/>
      <c r="D35" s="303"/>
      <c r="E35" s="303"/>
      <c r="F35" s="303"/>
      <c r="G35" s="119">
        <f t="shared" ref="G35:L35" si="3">SUM(G4:G34)</f>
        <v>48</v>
      </c>
      <c r="H35" s="118">
        <f t="shared" si="3"/>
        <v>0</v>
      </c>
      <c r="I35" s="118">
        <f t="shared" si="3"/>
        <v>0</v>
      </c>
      <c r="J35" s="118">
        <f t="shared" si="3"/>
        <v>0</v>
      </c>
      <c r="K35" s="118">
        <f t="shared" si="3"/>
        <v>0</v>
      </c>
      <c r="L35" s="118">
        <f t="shared" si="3"/>
        <v>0</v>
      </c>
      <c r="M35" s="119">
        <f>SUM(H35:L35)</f>
        <v>0</v>
      </c>
    </row>
    <row r="36" spans="2:13" ht="15" thickBot="1" x14ac:dyDescent="0.4">
      <c r="B36" s="302" t="s">
        <v>78</v>
      </c>
      <c r="C36" s="303"/>
      <c r="D36" s="303"/>
      <c r="E36" s="303"/>
      <c r="F36" s="303"/>
      <c r="G36" s="324">
        <f>G35-SUM(H35:L35)</f>
        <v>48</v>
      </c>
      <c r="H36" s="325"/>
      <c r="I36" s="325"/>
      <c r="J36" s="325"/>
      <c r="K36" s="325"/>
      <c r="L36" s="325"/>
      <c r="M36" s="326"/>
    </row>
    <row r="37" spans="2:13" ht="15" thickBot="1" x14ac:dyDescent="0.4">
      <c r="B37" s="302" t="s">
        <v>12</v>
      </c>
      <c r="C37" s="303"/>
      <c r="D37" s="303"/>
      <c r="E37" s="303"/>
      <c r="F37" s="307"/>
      <c r="G37" s="347">
        <f>H35*1+I35*1.5+J35*2+K35*3+L35*4</f>
        <v>0</v>
      </c>
      <c r="H37" s="347"/>
      <c r="I37" s="347"/>
      <c r="J37" s="347"/>
      <c r="K37" s="347"/>
      <c r="L37" s="347"/>
      <c r="M37" s="348"/>
    </row>
    <row r="38" spans="2:13" ht="15" thickBot="1" x14ac:dyDescent="0.4">
      <c r="B38" s="302" t="s">
        <v>105</v>
      </c>
      <c r="C38" s="303"/>
      <c r="D38" s="303"/>
      <c r="E38" s="303"/>
      <c r="F38" s="303"/>
      <c r="G38" s="346"/>
      <c r="H38" s="347"/>
      <c r="I38" s="347"/>
      <c r="J38" s="347"/>
      <c r="K38" s="347"/>
      <c r="L38" s="347"/>
      <c r="M38" s="348"/>
    </row>
    <row r="39" spans="2:13" ht="15" thickBot="1" x14ac:dyDescent="0.4">
      <c r="B39" s="302" t="s">
        <v>103</v>
      </c>
      <c r="C39" s="303"/>
      <c r="D39" s="303"/>
      <c r="E39" s="303"/>
      <c r="F39" s="303"/>
      <c r="G39" s="308">
        <v>1</v>
      </c>
      <c r="H39" s="309"/>
      <c r="I39" s="309"/>
      <c r="J39" s="309"/>
      <c r="K39" s="309"/>
      <c r="L39" s="309"/>
      <c r="M39" s="310"/>
    </row>
    <row r="40" spans="2:13" ht="15" thickBot="1" x14ac:dyDescent="0.4">
      <c r="B40" s="302" t="s">
        <v>101</v>
      </c>
      <c r="C40" s="303"/>
      <c r="D40" s="303"/>
      <c r="E40" s="303"/>
      <c r="F40" s="303"/>
      <c r="G40" s="308">
        <v>3</v>
      </c>
      <c r="H40" s="309"/>
      <c r="I40" s="309"/>
      <c r="J40" s="309"/>
      <c r="K40" s="309"/>
      <c r="L40" s="309"/>
      <c r="M40" s="310"/>
    </row>
    <row r="41" spans="2:13" ht="15" thickBot="1" x14ac:dyDescent="0.4">
      <c r="B41" s="300" t="s">
        <v>69</v>
      </c>
      <c r="C41" s="301"/>
      <c r="D41" s="301"/>
      <c r="E41" s="301"/>
      <c r="F41" s="301"/>
      <c r="G41" s="313">
        <f ca="1">TODAY()</f>
        <v>43268</v>
      </c>
      <c r="H41" s="314"/>
      <c r="I41" s="314"/>
      <c r="J41" s="314"/>
      <c r="K41" s="314"/>
      <c r="L41" s="314"/>
      <c r="M41" s="315"/>
    </row>
    <row r="42" spans="2:13" ht="15" thickBot="1" x14ac:dyDescent="0.4">
      <c r="B42" s="302" t="s">
        <v>67</v>
      </c>
      <c r="C42" s="303"/>
      <c r="D42" s="303"/>
      <c r="E42" s="303"/>
      <c r="F42" s="303"/>
      <c r="G42" s="343" t="s">
        <v>108</v>
      </c>
      <c r="H42" s="344"/>
      <c r="I42" s="344"/>
      <c r="J42" s="344"/>
      <c r="K42" s="344"/>
      <c r="L42" s="344"/>
      <c r="M42" s="345"/>
    </row>
  </sheetData>
  <mergeCells count="17">
    <mergeCell ref="B37:F37"/>
    <mergeCell ref="G37:M37"/>
    <mergeCell ref="H2:L2"/>
    <mergeCell ref="M2:M3"/>
    <mergeCell ref="B35:F35"/>
    <mergeCell ref="B36:F36"/>
    <mergeCell ref="G36:M36"/>
    <mergeCell ref="B41:F41"/>
    <mergeCell ref="G41:M41"/>
    <mergeCell ref="B42:F42"/>
    <mergeCell ref="G42:M42"/>
    <mergeCell ref="B38:F38"/>
    <mergeCell ref="G38:M38"/>
    <mergeCell ref="B39:F39"/>
    <mergeCell ref="G39:M39"/>
    <mergeCell ref="B40:F40"/>
    <mergeCell ref="G40:M40"/>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7412" r:id="rId4" name="ComboBox1">
          <controlPr defaultSize="0" autoLine="0" r:id="rId5">
            <anchor moveWithCells="1">
              <from>
                <xdr:col>14</xdr:col>
                <xdr:colOff>482600</xdr:colOff>
                <xdr:row>19</xdr:row>
                <xdr:rowOff>12700</xdr:rowOff>
              </from>
              <to>
                <xdr:col>16</xdr:col>
                <xdr:colOff>171450</xdr:colOff>
                <xdr:row>20</xdr:row>
                <xdr:rowOff>38100</xdr:rowOff>
              </to>
            </anchor>
          </controlPr>
        </control>
      </mc:Choice>
      <mc:Fallback>
        <control shapeId="17412" r:id="rId4" name="ComboBox1"/>
      </mc:Fallback>
    </mc:AlternateContent>
    <mc:AlternateContent xmlns:mc="http://schemas.openxmlformats.org/markup-compatibility/2006">
      <mc:Choice Requires="x14">
        <control shapeId="17409" r:id="rId6" name="Button 1">
          <controlPr defaultSize="0" print="0" autoFill="0" autoPict="0" macro="[0]!CalnPaste">
            <anchor moveWithCells="1" sizeWithCells="1">
              <from>
                <xdr:col>7</xdr:col>
                <xdr:colOff>12700</xdr:colOff>
                <xdr:row>1</xdr:row>
                <xdr:rowOff>0</xdr:rowOff>
              </from>
              <to>
                <xdr:col>11</xdr:col>
                <xdr:colOff>596900</xdr:colOff>
                <xdr:row>1</xdr:row>
                <xdr:rowOff>203200</xdr:rowOff>
              </to>
            </anchor>
          </controlPr>
        </control>
      </mc:Choice>
    </mc:AlternateContent>
    <mc:AlternateContent xmlns:mc="http://schemas.openxmlformats.org/markup-compatibility/2006">
      <mc:Choice Requires="x14">
        <control shapeId="17410" r:id="rId7" name="Button 2">
          <controlPr defaultSize="0" print="0" autoFill="0" autoPict="0" macro="[0]!EraseStart">
            <anchor moveWithCells="1" sizeWithCells="1">
              <from>
                <xdr:col>1</xdr:col>
                <xdr:colOff>603250</xdr:colOff>
                <xdr:row>2</xdr:row>
                <xdr:rowOff>6350</xdr:rowOff>
              </from>
              <to>
                <xdr:col>3</xdr:col>
                <xdr:colOff>6350</xdr:colOff>
                <xdr:row>2</xdr:row>
                <xdr:rowOff>184150</xdr:rowOff>
              </to>
            </anchor>
          </controlPr>
        </control>
      </mc:Choice>
    </mc:AlternateContent>
    <mc:AlternateContent xmlns:mc="http://schemas.openxmlformats.org/markup-compatibility/2006">
      <mc:Choice Requires="x14">
        <control shapeId="17411" r:id="rId8" name="Button 3">
          <controlPr defaultSize="0" print="0" autoFill="0" autoPict="0" macro="[0]!EraseEnd">
            <anchor moveWithCells="1" sizeWithCells="1">
              <from>
                <xdr:col>3</xdr:col>
                <xdr:colOff>12700</xdr:colOff>
                <xdr:row>2</xdr:row>
                <xdr:rowOff>6350</xdr:rowOff>
              </from>
              <to>
                <xdr:col>4</xdr:col>
                <xdr:colOff>0</xdr:colOff>
                <xdr:row>3</xdr:row>
                <xdr:rowOff>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47A5C-B8EF-4212-9407-C0EE2FAA49AB}">
  <sheetPr codeName="Sheet7">
    <tabColor theme="8"/>
  </sheetPr>
  <dimension ref="B1:M42"/>
  <sheetViews>
    <sheetView topLeftCell="A19" zoomScaleNormal="100" workbookViewId="0">
      <selection activeCell="C4" sqref="C4:D34"/>
    </sheetView>
  </sheetViews>
  <sheetFormatPr defaultRowHeight="14.5" x14ac:dyDescent="0.35"/>
  <cols>
    <col min="1" max="1" width="2.54296875" customWidth="1"/>
    <col min="2" max="2" width="8.7265625" style="2"/>
    <col min="3" max="3" width="12.08984375" style="4" bestFit="1" customWidth="1"/>
    <col min="4" max="4" width="11" style="4" bestFit="1" customWidth="1"/>
    <col min="5" max="5" width="20.6328125" style="2" customWidth="1"/>
    <col min="6" max="6" width="10.6328125" style="1" bestFit="1" customWidth="1"/>
    <col min="7" max="7" width="12.08984375" style="125" bestFit="1" customWidth="1"/>
    <col min="8" max="9" width="8.7265625" style="1"/>
    <col min="13" max="13" width="9.08984375" style="3" bestFit="1" customWidth="1"/>
    <col min="14" max="14" width="12.54296875" customWidth="1"/>
  </cols>
  <sheetData>
    <row r="1" spans="2:13" ht="15" thickBot="1" x14ac:dyDescent="0.4"/>
    <row r="2" spans="2:13" ht="17" customHeight="1" thickBot="1" x14ac:dyDescent="0.4">
      <c r="B2" s="116" t="s">
        <v>13</v>
      </c>
      <c r="C2" s="117" t="s">
        <v>107</v>
      </c>
      <c r="D2" s="149" t="s">
        <v>35</v>
      </c>
      <c r="E2" s="117" t="s">
        <v>42</v>
      </c>
      <c r="F2" s="160" t="s">
        <v>14</v>
      </c>
      <c r="G2" s="133" t="s">
        <v>84</v>
      </c>
      <c r="H2" s="349" t="s">
        <v>12</v>
      </c>
      <c r="I2" s="350"/>
      <c r="J2" s="350"/>
      <c r="K2" s="350"/>
      <c r="L2" s="351"/>
      <c r="M2" s="352" t="s">
        <v>9</v>
      </c>
    </row>
    <row r="3" spans="2:13" ht="15" thickBot="1" x14ac:dyDescent="0.4">
      <c r="B3" s="150" t="s">
        <v>6</v>
      </c>
      <c r="C3" s="147" t="s">
        <v>0</v>
      </c>
      <c r="D3" s="147" t="s">
        <v>1</v>
      </c>
      <c r="E3" s="150" t="s">
        <v>2</v>
      </c>
      <c r="F3" s="150" t="s">
        <v>3</v>
      </c>
      <c r="G3" s="148" t="s">
        <v>104</v>
      </c>
      <c r="H3" s="106" t="s">
        <v>118</v>
      </c>
      <c r="I3" s="107" t="s">
        <v>7</v>
      </c>
      <c r="J3" s="108" t="s">
        <v>8</v>
      </c>
      <c r="K3" s="108" t="s">
        <v>16</v>
      </c>
      <c r="L3" s="109" t="s">
        <v>17</v>
      </c>
      <c r="M3" s="311"/>
    </row>
    <row r="4" spans="2:13" x14ac:dyDescent="0.35">
      <c r="B4" s="97">
        <v>1</v>
      </c>
      <c r="C4" s="5">
        <v>0.375</v>
      </c>
      <c r="D4" s="6">
        <v>0.70833333333333337</v>
      </c>
      <c r="E4" s="99" t="s">
        <v>20</v>
      </c>
      <c r="F4" s="102"/>
      <c r="G4" s="98">
        <f t="shared" ref="G4:G34" si="0">IF(OR(AND(C4="OL",D4="OL"),AND(C4="LL",D4="LL"),AND(C4="MC",D4="MC"),AND(C4="O",D4="O"),AND(C4="CSE",D4="CSE")), 0, HOUR($D4)+MINUTE($D4)/60-HOUR($C4)-MINUTE($C4)/60)</f>
        <v>8</v>
      </c>
      <c r="H4" s="111"/>
      <c r="I4" s="110"/>
      <c r="J4" s="110"/>
      <c r="K4" s="110"/>
      <c r="L4" s="112"/>
      <c r="M4" s="105">
        <f t="shared" ref="M4:M14" si="1">IF(H:H,H4*1,IF(I:I,I4*1.5,IF(J:J,J4*2,IF(K:K,K4*3,IF(L:L,L4*3,0))))+IF(OR(NOT(E4="SU"),NOT(E4="SA"),NOT(C4="O"),NOT(C4="MC"),NOT(C4="CSE"),NOT(C4="LL"),NOT(C4="OL"))*8,0))</f>
        <v>0</v>
      </c>
    </row>
    <row r="5" spans="2:13" x14ac:dyDescent="0.35">
      <c r="B5" s="97">
        <v>2</v>
      </c>
      <c r="C5" s="5">
        <v>0.375</v>
      </c>
      <c r="D5" s="6">
        <v>0.83333333333333337</v>
      </c>
      <c r="E5" s="100" t="s">
        <v>21</v>
      </c>
      <c r="F5" s="103"/>
      <c r="G5" s="98">
        <f t="shared" si="0"/>
        <v>11</v>
      </c>
      <c r="H5" s="111"/>
      <c r="I5" s="110">
        <v>3</v>
      </c>
      <c r="J5" s="110"/>
      <c r="K5" s="110"/>
      <c r="L5" s="112"/>
      <c r="M5" s="105">
        <f t="shared" si="1"/>
        <v>4.5</v>
      </c>
    </row>
    <row r="6" spans="2:13" x14ac:dyDescent="0.35">
      <c r="B6" s="97">
        <v>3</v>
      </c>
      <c r="C6" s="5">
        <v>0.375</v>
      </c>
      <c r="D6" s="6">
        <v>0.79166666666666696</v>
      </c>
      <c r="E6" s="100" t="s">
        <v>22</v>
      </c>
      <c r="F6" s="103"/>
      <c r="G6" s="98">
        <f t="shared" si="0"/>
        <v>10</v>
      </c>
      <c r="H6" s="111"/>
      <c r="I6" s="110">
        <v>2</v>
      </c>
      <c r="J6" s="110"/>
      <c r="K6" s="110"/>
      <c r="L6" s="112"/>
      <c r="M6" s="105">
        <f t="shared" si="1"/>
        <v>3</v>
      </c>
    </row>
    <row r="7" spans="2:13" x14ac:dyDescent="0.35">
      <c r="B7" s="97">
        <v>4</v>
      </c>
      <c r="C7" s="5">
        <v>0.375</v>
      </c>
      <c r="D7" s="6">
        <v>0.77083333333333337</v>
      </c>
      <c r="E7" s="100" t="s">
        <v>4</v>
      </c>
      <c r="F7" s="103"/>
      <c r="G7" s="98">
        <f t="shared" si="0"/>
        <v>9.5</v>
      </c>
      <c r="H7" s="111"/>
      <c r="I7" s="110">
        <v>9.5</v>
      </c>
      <c r="J7" s="110"/>
      <c r="K7" s="110"/>
      <c r="L7" s="112"/>
      <c r="M7" s="105">
        <f t="shared" si="1"/>
        <v>14.25</v>
      </c>
    </row>
    <row r="8" spans="2:13" x14ac:dyDescent="0.35">
      <c r="B8" s="97">
        <v>5</v>
      </c>
      <c r="C8" s="5" t="s">
        <v>15</v>
      </c>
      <c r="D8" s="6" t="s">
        <v>15</v>
      </c>
      <c r="E8" s="100" t="s">
        <v>5</v>
      </c>
      <c r="F8" s="103"/>
      <c r="G8" s="98">
        <f t="shared" si="0"/>
        <v>0</v>
      </c>
      <c r="H8" s="111"/>
      <c r="I8" s="110"/>
      <c r="J8" s="110"/>
      <c r="K8" s="110"/>
      <c r="L8" s="112"/>
      <c r="M8" s="105">
        <f t="shared" si="1"/>
        <v>0</v>
      </c>
    </row>
    <row r="9" spans="2:13" x14ac:dyDescent="0.35">
      <c r="B9" s="97">
        <v>6</v>
      </c>
      <c r="C9" s="5">
        <v>0.375</v>
      </c>
      <c r="D9" s="6">
        <v>0.70833333333333337</v>
      </c>
      <c r="E9" s="100" t="s">
        <v>24</v>
      </c>
      <c r="F9" s="103" t="s">
        <v>11</v>
      </c>
      <c r="G9" s="98">
        <f t="shared" si="0"/>
        <v>8</v>
      </c>
      <c r="H9" s="111">
        <v>8</v>
      </c>
      <c r="I9" s="110"/>
      <c r="J9" s="110"/>
      <c r="K9" s="110"/>
      <c r="L9" s="112"/>
      <c r="M9" s="105">
        <f t="shared" si="1"/>
        <v>8</v>
      </c>
    </row>
    <row r="10" spans="2:13" x14ac:dyDescent="0.35">
      <c r="B10" s="97">
        <v>7</v>
      </c>
      <c r="C10" s="5">
        <v>0.375</v>
      </c>
      <c r="D10" s="6">
        <v>0.85416666666666663</v>
      </c>
      <c r="E10" s="100" t="s">
        <v>21</v>
      </c>
      <c r="F10" s="103" t="s">
        <v>11</v>
      </c>
      <c r="G10" s="98">
        <f t="shared" si="0"/>
        <v>11.5</v>
      </c>
      <c r="H10" s="111">
        <v>8</v>
      </c>
      <c r="I10" s="110">
        <v>3.5</v>
      </c>
      <c r="J10" s="110"/>
      <c r="K10" s="110"/>
      <c r="L10" s="112"/>
      <c r="M10" s="105">
        <f t="shared" si="1"/>
        <v>8</v>
      </c>
    </row>
    <row r="11" spans="2:13" x14ac:dyDescent="0.35">
      <c r="B11" s="97">
        <v>8</v>
      </c>
      <c r="C11" s="5" t="s">
        <v>102</v>
      </c>
      <c r="D11" s="6" t="s">
        <v>102</v>
      </c>
      <c r="E11" s="100" t="s">
        <v>20</v>
      </c>
      <c r="F11" s="103"/>
      <c r="G11" s="98">
        <f t="shared" si="0"/>
        <v>0</v>
      </c>
      <c r="H11" s="111"/>
      <c r="I11" s="110"/>
      <c r="J11" s="110"/>
      <c r="K11" s="110"/>
      <c r="L11" s="112"/>
      <c r="M11" s="105">
        <f t="shared" si="1"/>
        <v>0</v>
      </c>
    </row>
    <row r="12" spans="2:13" x14ac:dyDescent="0.35">
      <c r="B12" s="97">
        <v>9</v>
      </c>
      <c r="C12" s="5">
        <v>0.375</v>
      </c>
      <c r="D12" s="6">
        <v>0.72916666666666663</v>
      </c>
      <c r="E12" s="100" t="s">
        <v>21</v>
      </c>
      <c r="F12" s="103"/>
      <c r="G12" s="98">
        <f t="shared" si="0"/>
        <v>8.5</v>
      </c>
      <c r="H12" s="111"/>
      <c r="I12" s="110">
        <v>0.5</v>
      </c>
      <c r="J12" s="110"/>
      <c r="K12" s="110"/>
      <c r="L12" s="112"/>
      <c r="M12" s="105">
        <f t="shared" si="1"/>
        <v>0.75</v>
      </c>
    </row>
    <row r="13" spans="2:13" x14ac:dyDescent="0.35">
      <c r="B13" s="97">
        <v>10</v>
      </c>
      <c r="C13" s="5" t="s">
        <v>102</v>
      </c>
      <c r="D13" s="6" t="s">
        <v>102</v>
      </c>
      <c r="E13" s="100" t="s">
        <v>22</v>
      </c>
      <c r="F13" s="103"/>
      <c r="G13" s="98">
        <f t="shared" si="0"/>
        <v>0</v>
      </c>
      <c r="H13" s="111"/>
      <c r="I13" s="110"/>
      <c r="J13" s="110"/>
      <c r="K13" s="110"/>
      <c r="L13" s="112"/>
      <c r="M13" s="105">
        <f t="shared" si="1"/>
        <v>0</v>
      </c>
    </row>
    <row r="14" spans="2:13" x14ac:dyDescent="0.35">
      <c r="B14" s="97">
        <v>11</v>
      </c>
      <c r="C14" s="5">
        <v>0.375</v>
      </c>
      <c r="D14" s="6">
        <v>0.72916666666666663</v>
      </c>
      <c r="E14" s="100" t="s">
        <v>4</v>
      </c>
      <c r="F14" s="103" t="s">
        <v>11</v>
      </c>
      <c r="G14" s="98">
        <f t="shared" si="0"/>
        <v>8.5</v>
      </c>
      <c r="H14" s="111"/>
      <c r="I14" s="110"/>
      <c r="J14" s="110"/>
      <c r="K14" s="110">
        <v>8.5</v>
      </c>
      <c r="L14" s="112"/>
      <c r="M14" s="105">
        <f t="shared" si="1"/>
        <v>25.5</v>
      </c>
    </row>
    <row r="15" spans="2:13" x14ac:dyDescent="0.35">
      <c r="B15" s="97">
        <v>12</v>
      </c>
      <c r="C15" s="5">
        <v>0.375</v>
      </c>
      <c r="D15" s="6">
        <v>0.75</v>
      </c>
      <c r="E15" s="100" t="s">
        <v>5</v>
      </c>
      <c r="F15" s="103" t="s">
        <v>11</v>
      </c>
      <c r="G15" s="98">
        <f t="shared" si="0"/>
        <v>9</v>
      </c>
      <c r="H15" s="111"/>
      <c r="I15" s="110"/>
      <c r="J15" s="110"/>
      <c r="K15" s="110"/>
      <c r="L15" s="112">
        <v>9</v>
      </c>
      <c r="M15" s="105">
        <f t="shared" ref="M15:M34" si="2">IF(H:H,H15*1,IF(I:I,I15*1.5,IF(J:J,J15*2,IF(K:K,K15*3,IF(L:L,L15*3,0))))+IF(OR(NOT(E15="SU"),NOT(E15="SA")),8,0))</f>
        <v>35</v>
      </c>
    </row>
    <row r="16" spans="2:13" x14ac:dyDescent="0.35">
      <c r="B16" s="97">
        <v>13</v>
      </c>
      <c r="C16" s="5" t="s">
        <v>102</v>
      </c>
      <c r="D16" s="6" t="s">
        <v>102</v>
      </c>
      <c r="E16" s="100" t="s">
        <v>24</v>
      </c>
      <c r="F16" s="103"/>
      <c r="G16" s="98">
        <f t="shared" si="0"/>
        <v>0</v>
      </c>
      <c r="H16" s="111"/>
      <c r="I16" s="110"/>
      <c r="J16" s="110"/>
      <c r="K16" s="110"/>
      <c r="L16" s="112"/>
      <c r="M16" s="105">
        <f t="shared" si="2"/>
        <v>8</v>
      </c>
    </row>
    <row r="17" spans="2:13" x14ac:dyDescent="0.35">
      <c r="B17" s="97">
        <v>14</v>
      </c>
      <c r="C17" s="5">
        <v>0.375</v>
      </c>
      <c r="D17" s="6">
        <v>0.72916666666666663</v>
      </c>
      <c r="E17" s="100" t="s">
        <v>21</v>
      </c>
      <c r="F17" s="103"/>
      <c r="G17" s="98">
        <f t="shared" si="0"/>
        <v>8.5</v>
      </c>
      <c r="H17" s="111"/>
      <c r="I17" s="110">
        <v>0.5</v>
      </c>
      <c r="J17" s="110"/>
      <c r="K17" s="110"/>
      <c r="L17" s="112"/>
      <c r="M17" s="105">
        <f t="shared" si="2"/>
        <v>8.75</v>
      </c>
    </row>
    <row r="18" spans="2:13" x14ac:dyDescent="0.35">
      <c r="B18" s="97">
        <v>15</v>
      </c>
      <c r="C18" s="5">
        <v>0.375</v>
      </c>
      <c r="D18" s="6">
        <v>0.72916666666666663</v>
      </c>
      <c r="E18" s="100" t="s">
        <v>20</v>
      </c>
      <c r="F18" s="103"/>
      <c r="G18" s="98">
        <f t="shared" si="0"/>
        <v>8.5</v>
      </c>
      <c r="H18" s="111"/>
      <c r="I18" s="110">
        <v>0.5</v>
      </c>
      <c r="J18" s="110"/>
      <c r="K18" s="110"/>
      <c r="L18" s="112"/>
      <c r="M18" s="105">
        <f t="shared" si="2"/>
        <v>8.75</v>
      </c>
    </row>
    <row r="19" spans="2:13" x14ac:dyDescent="0.35">
      <c r="B19" s="97">
        <v>16</v>
      </c>
      <c r="C19" s="5">
        <v>0.375</v>
      </c>
      <c r="D19" s="6">
        <v>0.72916666666666663</v>
      </c>
      <c r="E19" s="100" t="s">
        <v>21</v>
      </c>
      <c r="F19" s="103"/>
      <c r="G19" s="98">
        <f t="shared" si="0"/>
        <v>8.5</v>
      </c>
      <c r="H19" s="111"/>
      <c r="I19" s="110">
        <v>0.5</v>
      </c>
      <c r="J19" s="110"/>
      <c r="K19" s="110"/>
      <c r="L19" s="112"/>
      <c r="M19" s="105">
        <f t="shared" si="2"/>
        <v>8.75</v>
      </c>
    </row>
    <row r="20" spans="2:13" x14ac:dyDescent="0.35">
      <c r="B20" s="97">
        <v>17</v>
      </c>
      <c r="C20" s="5">
        <v>0.375</v>
      </c>
      <c r="D20" s="6">
        <v>0.70833333333333337</v>
      </c>
      <c r="E20" s="100" t="s">
        <v>22</v>
      </c>
      <c r="F20" s="103"/>
      <c r="G20" s="98">
        <f t="shared" si="0"/>
        <v>8</v>
      </c>
      <c r="H20" s="111"/>
      <c r="I20" s="110"/>
      <c r="J20" s="110"/>
      <c r="K20" s="110"/>
      <c r="L20" s="112"/>
      <c r="M20" s="105">
        <f t="shared" si="2"/>
        <v>8</v>
      </c>
    </row>
    <row r="21" spans="2:13" x14ac:dyDescent="0.35">
      <c r="B21" s="97">
        <v>18</v>
      </c>
      <c r="C21" s="5" t="s">
        <v>102</v>
      </c>
      <c r="D21" s="6" t="s">
        <v>102</v>
      </c>
      <c r="E21" s="100" t="s">
        <v>23</v>
      </c>
      <c r="F21" s="103"/>
      <c r="G21" s="98">
        <f t="shared" si="0"/>
        <v>0</v>
      </c>
      <c r="H21" s="111"/>
      <c r="I21" s="110"/>
      <c r="J21" s="110"/>
      <c r="K21" s="110"/>
      <c r="L21" s="112"/>
      <c r="M21" s="105">
        <f t="shared" si="2"/>
        <v>8</v>
      </c>
    </row>
    <row r="22" spans="2:13" x14ac:dyDescent="0.35">
      <c r="B22" s="97">
        <v>19</v>
      </c>
      <c r="C22" s="5" t="s">
        <v>15</v>
      </c>
      <c r="D22" s="6" t="s">
        <v>15</v>
      </c>
      <c r="E22" s="100" t="s">
        <v>23</v>
      </c>
      <c r="F22" s="103"/>
      <c r="G22" s="98">
        <f t="shared" si="0"/>
        <v>0</v>
      </c>
      <c r="H22" s="111"/>
      <c r="I22" s="110"/>
      <c r="J22" s="110"/>
      <c r="K22" s="110"/>
      <c r="L22" s="112"/>
      <c r="M22" s="105">
        <f t="shared" si="2"/>
        <v>8</v>
      </c>
    </row>
    <row r="23" spans="2:13" x14ac:dyDescent="0.35">
      <c r="B23" s="97">
        <v>20</v>
      </c>
      <c r="C23" s="5">
        <v>0.375</v>
      </c>
      <c r="D23" s="6">
        <v>0.72916666666666663</v>
      </c>
      <c r="E23" s="100" t="s">
        <v>24</v>
      </c>
      <c r="F23" s="103"/>
      <c r="G23" s="98">
        <f t="shared" si="0"/>
        <v>8.5</v>
      </c>
      <c r="H23" s="111"/>
      <c r="I23" s="110">
        <v>0.5</v>
      </c>
      <c r="J23" s="110"/>
      <c r="K23" s="110"/>
      <c r="L23" s="112"/>
      <c r="M23" s="105">
        <f t="shared" si="2"/>
        <v>8.75</v>
      </c>
    </row>
    <row r="24" spans="2:13" x14ac:dyDescent="0.35">
      <c r="B24" s="97">
        <v>21</v>
      </c>
      <c r="C24" s="5">
        <v>0.375</v>
      </c>
      <c r="D24" s="6">
        <v>0.72916666666666663</v>
      </c>
      <c r="E24" s="100" t="s">
        <v>21</v>
      </c>
      <c r="F24" s="103"/>
      <c r="G24" s="98">
        <f t="shared" si="0"/>
        <v>8.5</v>
      </c>
      <c r="H24" s="111"/>
      <c r="I24" s="110">
        <v>0.5</v>
      </c>
      <c r="J24" s="110"/>
      <c r="K24" s="110"/>
      <c r="L24" s="112"/>
      <c r="M24" s="105">
        <f t="shared" si="2"/>
        <v>8.75</v>
      </c>
    </row>
    <row r="25" spans="2:13" x14ac:dyDescent="0.35">
      <c r="B25" s="97">
        <v>22</v>
      </c>
      <c r="C25" s="5">
        <v>0.375</v>
      </c>
      <c r="D25" s="6">
        <v>0.72916666666666663</v>
      </c>
      <c r="E25" s="100" t="s">
        <v>20</v>
      </c>
      <c r="F25" s="103"/>
      <c r="G25" s="98">
        <f t="shared" si="0"/>
        <v>8.5</v>
      </c>
      <c r="H25" s="111"/>
      <c r="I25" s="110">
        <v>0.5</v>
      </c>
      <c r="J25" s="110"/>
      <c r="K25" s="110"/>
      <c r="L25" s="112"/>
      <c r="M25" s="105">
        <f t="shared" si="2"/>
        <v>8.75</v>
      </c>
    </row>
    <row r="26" spans="2:13" x14ac:dyDescent="0.35">
      <c r="B26" s="97">
        <v>23</v>
      </c>
      <c r="C26" s="5">
        <v>0.375</v>
      </c>
      <c r="D26" s="6">
        <v>0.70833333333333337</v>
      </c>
      <c r="E26" s="100" t="s">
        <v>21</v>
      </c>
      <c r="F26" s="103"/>
      <c r="G26" s="98">
        <f t="shared" si="0"/>
        <v>8</v>
      </c>
      <c r="H26" s="111"/>
      <c r="I26" s="110"/>
      <c r="J26" s="110"/>
      <c r="K26" s="110"/>
      <c r="L26" s="112"/>
      <c r="M26" s="105">
        <f t="shared" si="2"/>
        <v>8</v>
      </c>
    </row>
    <row r="27" spans="2:13" x14ac:dyDescent="0.35">
      <c r="B27" s="97">
        <v>24</v>
      </c>
      <c r="C27" s="5">
        <v>0.375</v>
      </c>
      <c r="D27" s="6">
        <v>0.70833333333333337</v>
      </c>
      <c r="E27" s="100" t="s">
        <v>22</v>
      </c>
      <c r="F27" s="103"/>
      <c r="G27" s="98">
        <f t="shared" si="0"/>
        <v>8</v>
      </c>
      <c r="H27" s="111"/>
      <c r="I27" s="110"/>
      <c r="J27" s="110"/>
      <c r="K27" s="110"/>
      <c r="L27" s="112"/>
      <c r="M27" s="105">
        <f t="shared" si="2"/>
        <v>8</v>
      </c>
    </row>
    <row r="28" spans="2:13" x14ac:dyDescent="0.35">
      <c r="B28" s="97">
        <v>25</v>
      </c>
      <c r="C28" s="5" t="s">
        <v>15</v>
      </c>
      <c r="D28" s="6" t="s">
        <v>15</v>
      </c>
      <c r="E28" s="100" t="s">
        <v>4</v>
      </c>
      <c r="F28" s="103"/>
      <c r="G28" s="98">
        <f t="shared" si="0"/>
        <v>0</v>
      </c>
      <c r="H28" s="111"/>
      <c r="I28" s="110"/>
      <c r="J28" s="110"/>
      <c r="K28" s="110"/>
      <c r="L28" s="112"/>
      <c r="M28" s="105">
        <f t="shared" si="2"/>
        <v>8</v>
      </c>
    </row>
    <row r="29" spans="2:13" x14ac:dyDescent="0.35">
      <c r="B29" s="97">
        <v>26</v>
      </c>
      <c r="C29" s="5" t="s">
        <v>15</v>
      </c>
      <c r="D29" s="6" t="s">
        <v>15</v>
      </c>
      <c r="E29" s="100" t="s">
        <v>5</v>
      </c>
      <c r="F29" s="103"/>
      <c r="G29" s="98">
        <f t="shared" si="0"/>
        <v>0</v>
      </c>
      <c r="H29" s="111"/>
      <c r="I29" s="110"/>
      <c r="J29" s="110"/>
      <c r="K29" s="110"/>
      <c r="L29" s="112"/>
      <c r="M29" s="105">
        <f t="shared" si="2"/>
        <v>8</v>
      </c>
    </row>
    <row r="30" spans="2:13" x14ac:dyDescent="0.35">
      <c r="B30" s="97">
        <v>27</v>
      </c>
      <c r="C30" s="5">
        <v>0.375</v>
      </c>
      <c r="D30" s="6">
        <v>0.72916666666666663</v>
      </c>
      <c r="E30" s="100" t="s">
        <v>25</v>
      </c>
      <c r="F30" s="103"/>
      <c r="G30" s="98">
        <f t="shared" si="0"/>
        <v>8.5</v>
      </c>
      <c r="H30" s="111"/>
      <c r="I30" s="110">
        <v>0.5</v>
      </c>
      <c r="J30" s="110"/>
      <c r="K30" s="110"/>
      <c r="L30" s="112"/>
      <c r="M30" s="105">
        <f t="shared" si="2"/>
        <v>8.75</v>
      </c>
    </row>
    <row r="31" spans="2:13" x14ac:dyDescent="0.35">
      <c r="B31" s="97">
        <v>28</v>
      </c>
      <c r="C31" s="5">
        <v>0.375</v>
      </c>
      <c r="D31" s="6">
        <v>0.72916666666666663</v>
      </c>
      <c r="E31" s="100" t="s">
        <v>18</v>
      </c>
      <c r="F31" s="103"/>
      <c r="G31" s="98">
        <f t="shared" si="0"/>
        <v>8.5</v>
      </c>
      <c r="H31" s="111"/>
      <c r="I31" s="110">
        <v>0.5</v>
      </c>
      <c r="J31" s="110"/>
      <c r="K31" s="110"/>
      <c r="L31" s="112"/>
      <c r="M31" s="105">
        <f t="shared" si="2"/>
        <v>8.75</v>
      </c>
    </row>
    <row r="32" spans="2:13" x14ac:dyDescent="0.35">
      <c r="B32" s="97">
        <v>29</v>
      </c>
      <c r="C32" s="5">
        <v>0.375</v>
      </c>
      <c r="D32" s="6">
        <v>0.72916666666666663</v>
      </c>
      <c r="E32" s="100" t="s">
        <v>20</v>
      </c>
      <c r="F32" s="103"/>
      <c r="G32" s="98">
        <f t="shared" si="0"/>
        <v>8.5</v>
      </c>
      <c r="H32" s="111"/>
      <c r="I32" s="110">
        <v>0.5</v>
      </c>
      <c r="J32" s="110"/>
      <c r="K32" s="110"/>
      <c r="L32" s="112"/>
      <c r="M32" s="105">
        <f t="shared" si="2"/>
        <v>8.75</v>
      </c>
    </row>
    <row r="33" spans="2:13" x14ac:dyDescent="0.35">
      <c r="B33" s="97">
        <v>30</v>
      </c>
      <c r="C33" s="5">
        <v>0.375</v>
      </c>
      <c r="D33" s="6">
        <v>0.70833333333333337</v>
      </c>
      <c r="E33" s="100" t="s">
        <v>18</v>
      </c>
      <c r="F33" s="103"/>
      <c r="G33" s="98">
        <f t="shared" si="0"/>
        <v>8</v>
      </c>
      <c r="H33" s="111"/>
      <c r="I33" s="110"/>
      <c r="J33" s="110"/>
      <c r="K33" s="110"/>
      <c r="L33" s="112"/>
      <c r="M33" s="105">
        <f t="shared" si="2"/>
        <v>8</v>
      </c>
    </row>
    <row r="34" spans="2:13" ht="15" thickBot="1" x14ac:dyDescent="0.4">
      <c r="B34" s="97">
        <v>31</v>
      </c>
      <c r="C34" s="5"/>
      <c r="D34" s="6"/>
      <c r="E34" s="101"/>
      <c r="F34" s="104"/>
      <c r="G34" s="98">
        <f t="shared" si="0"/>
        <v>0</v>
      </c>
      <c r="H34" s="113"/>
      <c r="I34" s="114"/>
      <c r="J34" s="114"/>
      <c r="K34" s="114"/>
      <c r="L34" s="115"/>
      <c r="M34" s="105">
        <f t="shared" si="2"/>
        <v>8</v>
      </c>
    </row>
    <row r="35" spans="2:13" ht="15" thickBot="1" x14ac:dyDescent="0.4">
      <c r="B35" s="302" t="s">
        <v>68</v>
      </c>
      <c r="C35" s="303"/>
      <c r="D35" s="303"/>
      <c r="E35" s="303"/>
      <c r="F35" s="303"/>
      <c r="G35" s="119">
        <f t="shared" ref="G35:L35" si="3">SUM(G4:G34)</f>
        <v>192.5</v>
      </c>
      <c r="H35" s="118">
        <f t="shared" si="3"/>
        <v>16</v>
      </c>
      <c r="I35" s="118">
        <f t="shared" si="3"/>
        <v>23</v>
      </c>
      <c r="J35" s="118">
        <f t="shared" si="3"/>
        <v>0</v>
      </c>
      <c r="K35" s="118">
        <f t="shared" si="3"/>
        <v>8.5</v>
      </c>
      <c r="L35" s="118">
        <f t="shared" si="3"/>
        <v>9</v>
      </c>
      <c r="M35" s="119">
        <f>SUM(H35:L35)</f>
        <v>56.5</v>
      </c>
    </row>
    <row r="36" spans="2:13" ht="15" thickBot="1" x14ac:dyDescent="0.4">
      <c r="B36" s="302" t="s">
        <v>78</v>
      </c>
      <c r="C36" s="303"/>
      <c r="D36" s="303"/>
      <c r="E36" s="303"/>
      <c r="F36" s="303"/>
      <c r="G36" s="324">
        <f>G35-SUM(H35:L35)</f>
        <v>136</v>
      </c>
      <c r="H36" s="325"/>
      <c r="I36" s="325"/>
      <c r="J36" s="325"/>
      <c r="K36" s="325"/>
      <c r="L36" s="325"/>
      <c r="M36" s="326"/>
    </row>
    <row r="37" spans="2:13" ht="15" thickBot="1" x14ac:dyDescent="0.4">
      <c r="B37" s="302" t="s">
        <v>12</v>
      </c>
      <c r="C37" s="303"/>
      <c r="D37" s="303"/>
      <c r="E37" s="303"/>
      <c r="F37" s="307"/>
      <c r="G37" s="347">
        <f>H35*1+I35*1.5+J35*2+K35*3+L35*4</f>
        <v>112</v>
      </c>
      <c r="H37" s="347"/>
      <c r="I37" s="347"/>
      <c r="J37" s="347"/>
      <c r="K37" s="347"/>
      <c r="L37" s="347"/>
      <c r="M37" s="348"/>
    </row>
    <row r="38" spans="2:13" ht="15" thickBot="1" x14ac:dyDescent="0.4">
      <c r="B38" s="302" t="s">
        <v>105</v>
      </c>
      <c r="C38" s="303"/>
      <c r="D38" s="303"/>
      <c r="E38" s="303"/>
      <c r="F38" s="303"/>
      <c r="G38" s="346"/>
      <c r="H38" s="347"/>
      <c r="I38" s="347"/>
      <c r="J38" s="347"/>
      <c r="K38" s="347"/>
      <c r="L38" s="347"/>
      <c r="M38" s="348"/>
    </row>
    <row r="39" spans="2:13" ht="15" thickBot="1" x14ac:dyDescent="0.4">
      <c r="B39" s="302" t="s">
        <v>103</v>
      </c>
      <c r="C39" s="303"/>
      <c r="D39" s="303"/>
      <c r="E39" s="303"/>
      <c r="F39" s="303"/>
      <c r="G39" s="308">
        <v>1</v>
      </c>
      <c r="H39" s="309"/>
      <c r="I39" s="309"/>
      <c r="J39" s="309"/>
      <c r="K39" s="309"/>
      <c r="L39" s="309"/>
      <c r="M39" s="310"/>
    </row>
    <row r="40" spans="2:13" ht="15" thickBot="1" x14ac:dyDescent="0.4">
      <c r="B40" s="302" t="s">
        <v>101</v>
      </c>
      <c r="C40" s="303"/>
      <c r="D40" s="303"/>
      <c r="E40" s="303"/>
      <c r="F40" s="303"/>
      <c r="G40" s="308">
        <v>3</v>
      </c>
      <c r="H40" s="309"/>
      <c r="I40" s="309"/>
      <c r="J40" s="309"/>
      <c r="K40" s="309"/>
      <c r="L40" s="309"/>
      <c r="M40" s="310"/>
    </row>
    <row r="41" spans="2:13" ht="15" thickBot="1" x14ac:dyDescent="0.4">
      <c r="B41" s="300" t="s">
        <v>69</v>
      </c>
      <c r="C41" s="301"/>
      <c r="D41" s="301"/>
      <c r="E41" s="301"/>
      <c r="F41" s="301"/>
      <c r="G41" s="313">
        <f ca="1">TODAY()</f>
        <v>43268</v>
      </c>
      <c r="H41" s="314"/>
      <c r="I41" s="314"/>
      <c r="J41" s="314"/>
      <c r="K41" s="314"/>
      <c r="L41" s="314"/>
      <c r="M41" s="315"/>
    </row>
    <row r="42" spans="2:13" ht="15" thickBot="1" x14ac:dyDescent="0.4">
      <c r="B42" s="302" t="s">
        <v>67</v>
      </c>
      <c r="C42" s="303"/>
      <c r="D42" s="303"/>
      <c r="E42" s="303"/>
      <c r="F42" s="303"/>
      <c r="G42" s="343" t="s">
        <v>108</v>
      </c>
      <c r="H42" s="344"/>
      <c r="I42" s="344"/>
      <c r="J42" s="344"/>
      <c r="K42" s="344"/>
      <c r="L42" s="344"/>
      <c r="M42" s="345"/>
    </row>
  </sheetData>
  <mergeCells count="17">
    <mergeCell ref="B37:F37"/>
    <mergeCell ref="G37:M37"/>
    <mergeCell ref="H2:L2"/>
    <mergeCell ref="M2:M3"/>
    <mergeCell ref="B35:F35"/>
    <mergeCell ref="B36:F36"/>
    <mergeCell ref="G36:M36"/>
    <mergeCell ref="B41:F41"/>
    <mergeCell ref="G41:M41"/>
    <mergeCell ref="B42:F42"/>
    <mergeCell ref="G42:M42"/>
    <mergeCell ref="B38:F38"/>
    <mergeCell ref="G38:M38"/>
    <mergeCell ref="B39:F39"/>
    <mergeCell ref="G39:M39"/>
    <mergeCell ref="B40:F40"/>
    <mergeCell ref="G40:M40"/>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6388" r:id="rId4" name="ComboBox1">
          <controlPr defaultSize="0" autoLine="0" r:id="rId5">
            <anchor moveWithCells="1">
              <from>
                <xdr:col>14</xdr:col>
                <xdr:colOff>482600</xdr:colOff>
                <xdr:row>19</xdr:row>
                <xdr:rowOff>12700</xdr:rowOff>
              </from>
              <to>
                <xdr:col>16</xdr:col>
                <xdr:colOff>171450</xdr:colOff>
                <xdr:row>20</xdr:row>
                <xdr:rowOff>38100</xdr:rowOff>
              </to>
            </anchor>
          </controlPr>
        </control>
      </mc:Choice>
      <mc:Fallback>
        <control shapeId="16388" r:id="rId4" name="ComboBox1"/>
      </mc:Fallback>
    </mc:AlternateContent>
    <mc:AlternateContent xmlns:mc="http://schemas.openxmlformats.org/markup-compatibility/2006">
      <mc:Choice Requires="x14">
        <control shapeId="16385" r:id="rId6" name="Button 1">
          <controlPr defaultSize="0" print="0" autoFill="0" autoPict="0" macro="[0]!CalnPaste">
            <anchor moveWithCells="1" sizeWithCells="1">
              <from>
                <xdr:col>7</xdr:col>
                <xdr:colOff>12700</xdr:colOff>
                <xdr:row>1</xdr:row>
                <xdr:rowOff>0</xdr:rowOff>
              </from>
              <to>
                <xdr:col>11</xdr:col>
                <xdr:colOff>596900</xdr:colOff>
                <xdr:row>1</xdr:row>
                <xdr:rowOff>203200</xdr:rowOff>
              </to>
            </anchor>
          </controlPr>
        </control>
      </mc:Choice>
    </mc:AlternateContent>
    <mc:AlternateContent xmlns:mc="http://schemas.openxmlformats.org/markup-compatibility/2006">
      <mc:Choice Requires="x14">
        <control shapeId="16386" r:id="rId7" name="Button 2">
          <controlPr defaultSize="0" print="0" autoFill="0" autoPict="0" macro="[0]!EraseStart">
            <anchor moveWithCells="1" sizeWithCells="1">
              <from>
                <xdr:col>1</xdr:col>
                <xdr:colOff>603250</xdr:colOff>
                <xdr:row>2</xdr:row>
                <xdr:rowOff>6350</xdr:rowOff>
              </from>
              <to>
                <xdr:col>3</xdr:col>
                <xdr:colOff>6350</xdr:colOff>
                <xdr:row>3</xdr:row>
                <xdr:rowOff>0</xdr:rowOff>
              </to>
            </anchor>
          </controlPr>
        </control>
      </mc:Choice>
    </mc:AlternateContent>
    <mc:AlternateContent xmlns:mc="http://schemas.openxmlformats.org/markup-compatibility/2006">
      <mc:Choice Requires="x14">
        <control shapeId="16387" r:id="rId8" name="Button 3">
          <controlPr defaultSize="0" print="0" autoFill="0" autoPict="0" macro="[0]!EraseEnd">
            <anchor moveWithCells="1" sizeWithCells="1">
              <from>
                <xdr:col>3</xdr:col>
                <xdr:colOff>12700</xdr:colOff>
                <xdr:row>2</xdr:row>
                <xdr:rowOff>6350</xdr:rowOff>
              </from>
              <to>
                <xdr:col>4</xdr:col>
                <xdr:colOff>0</xdr:colOff>
                <xdr:row>3</xdr:row>
                <xdr:rowOff>6350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Menu</vt:lpstr>
      <vt:lpstr>Attendance</vt:lpstr>
      <vt:lpstr>Timetable</vt:lpstr>
      <vt:lpstr>StaffData</vt:lpstr>
      <vt:lpstr>CPF</vt:lpstr>
      <vt:lpstr>PaymentData</vt:lpstr>
      <vt:lpstr>Cat1</vt:lpstr>
      <vt:lpstr>Cat2</vt:lpstr>
      <vt:lpstr>Cat3</vt:lpstr>
      <vt:lpstr>Cat4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Anonoymous</dc:creator>
  <cp:lastModifiedBy>Anonoymous</cp:lastModifiedBy>
  <dcterms:created xsi:type="dcterms:W3CDTF">2018-02-27T07:30:26Z</dcterms:created>
  <dcterms:modified xsi:type="dcterms:W3CDTF">2018-06-17T04:09:41Z</dcterms:modified>
</cp:coreProperties>
</file>